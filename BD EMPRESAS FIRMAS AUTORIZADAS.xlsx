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74FBE4C-F200-4D4D-9765-D43671814AB6}" xr6:coauthVersionLast="45" xr6:coauthVersionMax="45" xr10:uidLastSave="{00000000-0000-0000-0000-000000000000}"/>
  <bookViews>
    <workbookView xWindow="-120" yWindow="-120" windowWidth="29040" windowHeight="15840" tabRatio="908" xr2:uid="{00000000-000D-0000-FFFF-FFFF00000000}"/>
  </bookViews>
  <sheets>
    <sheet name="global" sheetId="28" r:id="rId1"/>
    <sheet name="A" sheetId="1" r:id="rId2"/>
    <sheet name="B" sheetId="2" r:id="rId3"/>
    <sheet name="C" sheetId="4" r:id="rId4"/>
    <sheet name="D" sheetId="5" r:id="rId5"/>
    <sheet name="E" sheetId="6" r:id="rId6"/>
    <sheet name="F" sheetId="7" r:id="rId7"/>
    <sheet name="G" sheetId="3" r:id="rId8"/>
    <sheet name="H" sheetId="14" r:id="rId9"/>
    <sheet name="I" sheetId="13" r:id="rId10"/>
    <sheet name="J" sheetId="12" r:id="rId11"/>
    <sheet name="K" sheetId="11" r:id="rId12"/>
    <sheet name="L" sheetId="10" r:id="rId13"/>
    <sheet name="M" sheetId="9" r:id="rId14"/>
    <sheet name="N" sheetId="8" r:id="rId15"/>
    <sheet name="Ñ" sheetId="24" r:id="rId16"/>
    <sheet name="O" sheetId="23" r:id="rId17"/>
    <sheet name="P" sheetId="22" r:id="rId18"/>
    <sheet name="Q" sheetId="21" r:id="rId19"/>
    <sheet name="R" sheetId="20" r:id="rId20"/>
    <sheet name="S" sheetId="19" r:id="rId21"/>
    <sheet name="T" sheetId="18" r:id="rId22"/>
    <sheet name="U" sheetId="17" r:id="rId23"/>
    <sheet name="V" sheetId="16" r:id="rId24"/>
    <sheet name="W" sheetId="15" r:id="rId25"/>
    <sheet name="X" sheetId="27" r:id="rId26"/>
    <sheet name="Y" sheetId="26" r:id="rId27"/>
    <sheet name="Z" sheetId="25" r:id="rId28"/>
    <sheet name="Analisis de Datos" sheetId="30" r:id="rId29"/>
    <sheet name="DATOS" sheetId="29" r:id="rId30"/>
  </sheets>
  <definedNames>
    <definedName name="_xlnm._FilterDatabase" localSheetId="13" hidden="1">M!$A$1:$O$51</definedName>
    <definedName name="_xlcn.WorksheetConnection_AD2K311" hidden="1">A!$D$1:$K$30</definedName>
    <definedName name="_xlcn.WorksheetConnection_BDEMPRESASFIRMASAUTORIZADAS.xlsxTabla11" hidden="1">Tabla1</definedName>
    <definedName name="_xlcn.WorksheetConnection_BDEMPRESASFIRMASAUTORIZADAS.xlsxTabla131" hidden="1">Tabla13[]</definedName>
  </definedNames>
  <calcPr calcId="191029"/>
  <pivotCaches>
    <pivotCache cacheId="0" r:id="rId31"/>
    <pivotCache cacheId="1" r:id="rId32"/>
    <pivotCache cacheId="2" r:id="rId33"/>
    <pivotCache cacheId="3" r:id="rId34"/>
    <pivotCache cacheId="4" r:id="rId35"/>
    <pivotCache cacheId="5" r:id="rId3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" name="Tabla1" connection="WorksheetConnection_BD EMPRESAS FIRMAS AUTORIZADAS.xlsx!Tabla1"/>
          <x15:modelTable id="Rango" name="Rango" connection="WorksheetConnection_A!$D$2:$K$31"/>
          <x15:modelTable id="Tabla13" name="Tabla13" connection="WorksheetConnection_BD EMPRESAS FIRMAS AUTORIZADAS.xlsx!Tabla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28" l="1"/>
  <c r="B9" i="28"/>
  <c r="B4" i="28"/>
  <c r="B3" i="28"/>
  <c r="B2" i="28"/>
  <c r="AI52" i="14"/>
  <c r="AI52" i="13"/>
  <c r="B10" i="28" s="1"/>
  <c r="AI52" i="12"/>
  <c r="AI52" i="11"/>
  <c r="B12" i="28" s="1"/>
  <c r="AI52" i="10"/>
  <c r="B13" i="28" s="1"/>
  <c r="AI52" i="9"/>
  <c r="B14" i="28" s="1"/>
  <c r="AI52" i="8"/>
  <c r="B15" i="28" s="1"/>
  <c r="AI52" i="24"/>
  <c r="B16" i="28" s="1"/>
  <c r="AI52" i="23"/>
  <c r="B17" i="28" s="1"/>
  <c r="AI52" i="22"/>
  <c r="B18" i="28" s="1"/>
  <c r="AI52" i="21"/>
  <c r="B19" i="28" s="1"/>
  <c r="AI52" i="20"/>
  <c r="B20" i="28" s="1"/>
  <c r="AI52" i="19"/>
  <c r="B21" i="28" s="1"/>
  <c r="AI52" i="18"/>
  <c r="B22" i="28" s="1"/>
  <c r="AI52" i="17"/>
  <c r="B23" i="28" s="1"/>
  <c r="AI52" i="16"/>
  <c r="B24" i="28" s="1"/>
  <c r="AI52" i="15"/>
  <c r="B25" i="28" s="1"/>
  <c r="AI52" i="27"/>
  <c r="B26" i="28" s="1"/>
  <c r="AI52" i="26"/>
  <c r="B27" i="28" s="1"/>
  <c r="AI52" i="25"/>
  <c r="B28" i="28" s="1"/>
  <c r="AI52" i="3"/>
  <c r="B8" i="28" s="1"/>
  <c r="AI52" i="7"/>
  <c r="B7" i="28" s="1"/>
  <c r="AI52" i="6"/>
  <c r="B6" i="28" s="1"/>
  <c r="AI52" i="5"/>
  <c r="B5" i="28" s="1"/>
  <c r="AI62" i="4"/>
  <c r="AI52" i="2"/>
  <c r="AI52" i="1"/>
  <c r="B30" i="2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A!$D$2:$K$31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AD2K311"/>
        </x15:connection>
      </ext>
    </extLst>
  </connection>
  <connection id="3" xr16:uid="{00000000-0015-0000-FFFF-FFFF02000000}" name="WorksheetConnection_BD EMPRESAS FIRMAS AUTORIZADAS.xlsx!Tabla1" type="102" refreshedVersion="6" minRefreshableVersion="5">
    <extLst>
      <ext xmlns:x15="http://schemas.microsoft.com/office/spreadsheetml/2010/11/main" uri="{DE250136-89BD-433C-8126-D09CA5730AF9}">
        <x15:connection id="Tabla1" autoDelete="1">
          <x15:rangePr sourceName="_xlcn.WorksheetConnection_BDEMPRESASFIRMASAUTORIZADAS.xlsxTabla11"/>
        </x15:connection>
      </ext>
    </extLst>
  </connection>
  <connection id="4" xr16:uid="{00000000-0015-0000-FFFF-FFFF03000000}" name="WorksheetConnection_BD EMPRESAS FIRMAS AUTORIZADAS.xlsx!Tabla13" type="102" refreshedVersion="6" minRefreshableVersion="5">
    <extLst>
      <ext xmlns:x15="http://schemas.microsoft.com/office/spreadsheetml/2010/11/main" uri="{DE250136-89BD-433C-8126-D09CA5730AF9}">
        <x15:connection id="Tabla13" autoDelete="1">
          <x15:rangePr sourceName="_xlcn.WorksheetConnection_BDEMPRESASFIRMASAUTORIZADAS.xlsxTabla131"/>
        </x15:connection>
      </ext>
    </extLst>
  </connection>
</connections>
</file>

<file path=xl/sharedStrings.xml><?xml version="1.0" encoding="utf-8"?>
<sst xmlns="http://schemas.openxmlformats.org/spreadsheetml/2006/main" count="14458" uniqueCount="5336">
  <si>
    <t>Fecha</t>
  </si>
  <si>
    <t>Nombre completo (Iniciando por apellidos, nombre)</t>
  </si>
  <si>
    <t>Tipo de empresa según ambito</t>
  </si>
  <si>
    <t>Puesto que ocupa en la empresa:</t>
  </si>
  <si>
    <t>Correo empresarial</t>
  </si>
  <si>
    <t>Teléfono de contacto (y extensión)</t>
  </si>
  <si>
    <t>A001</t>
  </si>
  <si>
    <t>Nombre completo de quien firma (Iniciando por apellidos, nombre)</t>
  </si>
  <si>
    <t>Whatsapp</t>
  </si>
  <si>
    <t>Folio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</si>
  <si>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</si>
  <si>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</si>
  <si>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</si>
  <si>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</si>
  <si>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</si>
  <si>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</si>
  <si>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</si>
  <si>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</si>
  <si>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</si>
  <si>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</si>
  <si>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</si>
  <si>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</si>
  <si>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</si>
  <si>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</si>
  <si>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</si>
  <si>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</si>
  <si>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</si>
  <si>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</si>
  <si>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</si>
  <si>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</si>
  <si>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</si>
  <si>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</si>
  <si>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</si>
  <si>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</si>
  <si>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</si>
  <si>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</si>
  <si>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</si>
  <si>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</si>
  <si>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</si>
  <si>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</si>
  <si>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</si>
  <si>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</si>
  <si>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</si>
  <si>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</si>
  <si>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</si>
  <si>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</si>
  <si>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</si>
  <si>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</si>
  <si>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</si>
  <si>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</si>
  <si>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</si>
  <si>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</si>
  <si>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</si>
  <si>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</si>
  <si>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</si>
  <si>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</si>
  <si>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</si>
  <si>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</si>
  <si>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</si>
  <si>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Empresa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</si>
  <si>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</si>
  <si>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</si>
  <si>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</si>
  <si>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</si>
  <si>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</si>
  <si>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</si>
  <si>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</si>
  <si>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</si>
  <si>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</si>
  <si>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</si>
  <si>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</si>
  <si>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</si>
  <si>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</si>
  <si>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</si>
  <si>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</si>
  <si>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</si>
  <si>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</si>
  <si>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</si>
  <si>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</si>
  <si>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</si>
  <si>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</si>
  <si>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</si>
  <si>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</si>
  <si>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</si>
  <si>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</si>
  <si>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</si>
  <si>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</si>
  <si>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</si>
  <si>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</si>
  <si>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</si>
  <si>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</si>
  <si>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</si>
  <si>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</si>
  <si>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</si>
  <si>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</si>
  <si>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</si>
  <si>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</si>
  <si>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</si>
  <si>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</si>
  <si>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</si>
  <si>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</si>
  <si>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</si>
  <si>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</si>
  <si>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</si>
  <si>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</si>
  <si>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</si>
  <si>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</si>
  <si>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</si>
  <si>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</si>
  <si>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</si>
  <si>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</si>
  <si>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</si>
  <si>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</si>
  <si>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</si>
  <si>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</si>
  <si>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</si>
  <si>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</si>
  <si>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</si>
  <si>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</si>
  <si>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</si>
  <si>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</si>
  <si>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</si>
  <si>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</si>
  <si>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</si>
  <si>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</si>
  <si>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</si>
  <si>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</si>
  <si>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</si>
  <si>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</si>
  <si>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</si>
  <si>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</si>
  <si>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</si>
  <si>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</si>
  <si>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</si>
  <si>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</si>
  <si>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</si>
  <si>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</si>
  <si>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</si>
  <si>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</si>
  <si>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</si>
  <si>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</si>
  <si>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</si>
  <si>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</si>
  <si>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</si>
  <si>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</si>
  <si>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</si>
  <si>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</si>
  <si>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</si>
  <si>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</si>
  <si>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</si>
  <si>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</si>
  <si>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</si>
  <si>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</si>
  <si>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</si>
  <si>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</si>
  <si>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</si>
  <si>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</si>
  <si>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</si>
  <si>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</si>
  <si>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</si>
  <si>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</si>
  <si>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</si>
  <si>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</si>
  <si>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</si>
  <si>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</si>
  <si>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</si>
  <si>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</si>
  <si>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</si>
  <si>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</si>
  <si>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</si>
  <si>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</si>
  <si>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</si>
  <si>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</si>
  <si>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</si>
  <si>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</si>
  <si>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</si>
  <si>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</si>
  <si>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</si>
  <si>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</si>
  <si>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</si>
  <si>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</si>
  <si>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</si>
  <si>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</si>
  <si>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</si>
  <si>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</si>
  <si>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</si>
  <si>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</si>
  <si>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</si>
  <si>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</si>
  <si>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</si>
  <si>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</si>
  <si>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</si>
  <si>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</si>
  <si>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</si>
  <si>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</si>
  <si>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</si>
  <si>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</si>
  <si>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</si>
  <si>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</si>
  <si>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</si>
  <si>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</si>
  <si>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</si>
  <si>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</si>
  <si>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</si>
  <si>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</si>
  <si>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</si>
  <si>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</si>
  <si>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</si>
  <si>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</si>
  <si>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</si>
  <si>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</si>
  <si>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</si>
  <si>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</si>
  <si>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</si>
  <si>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</si>
  <si>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</si>
  <si>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</si>
  <si>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</si>
  <si>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</si>
  <si>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</si>
  <si>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</si>
  <si>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</si>
  <si>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</si>
  <si>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</si>
  <si>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</si>
  <si>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</si>
  <si>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</si>
  <si>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</si>
  <si>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</si>
  <si>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</si>
  <si>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</si>
  <si>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</si>
  <si>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</si>
  <si>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</si>
  <si>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</si>
  <si>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</si>
  <si>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</si>
  <si>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</si>
  <si>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</si>
  <si>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</si>
  <si>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</si>
  <si>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</si>
  <si>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</si>
  <si>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</si>
  <si>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</si>
  <si>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</si>
  <si>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</si>
  <si>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</si>
  <si>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</si>
  <si>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</si>
  <si>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</si>
  <si>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</si>
  <si>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</si>
  <si>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</si>
  <si>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</si>
  <si>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</si>
  <si>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</si>
  <si>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</si>
  <si>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</si>
  <si>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</si>
  <si>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</si>
  <si>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</si>
  <si>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</si>
  <si>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</si>
  <si>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</si>
  <si>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</si>
  <si>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</si>
  <si>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</si>
  <si>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</si>
  <si>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</si>
  <si>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</si>
  <si>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</si>
  <si>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</si>
  <si>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</si>
  <si>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</si>
  <si>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</si>
  <si>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</si>
  <si>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</si>
  <si>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</si>
  <si>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</si>
  <si>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</si>
  <si>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</si>
  <si>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</si>
  <si>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</si>
  <si>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</si>
  <si>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</si>
  <si>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</si>
  <si>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</si>
  <si>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</si>
  <si>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</si>
  <si>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</si>
  <si>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</si>
  <si>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</si>
  <si>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</si>
  <si>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</si>
  <si>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</si>
  <si>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</si>
  <si>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</si>
  <si>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</si>
  <si>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</si>
  <si>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</si>
  <si>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</si>
  <si>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</si>
  <si>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</si>
  <si>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</si>
  <si>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</si>
  <si>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</si>
  <si>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</si>
  <si>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</si>
  <si>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</si>
  <si>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</si>
  <si>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</si>
  <si>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</si>
  <si>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</si>
  <si>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</si>
  <si>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</si>
  <si>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</si>
  <si>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</si>
  <si>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</si>
  <si>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</si>
  <si>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</si>
  <si>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</si>
  <si>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</si>
  <si>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</si>
  <si>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</si>
  <si>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</si>
  <si>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</si>
  <si>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</si>
  <si>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</si>
  <si>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</si>
  <si>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</si>
  <si>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</si>
  <si>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</si>
  <si>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</si>
  <si>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</si>
  <si>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</si>
  <si>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</si>
  <si>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</si>
  <si>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</si>
  <si>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</si>
  <si>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</si>
  <si>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</si>
  <si>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</si>
  <si>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</si>
  <si>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</si>
  <si>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</si>
  <si>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</si>
  <si>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</si>
  <si>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</si>
  <si>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</si>
  <si>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</si>
  <si>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</si>
  <si>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</si>
  <si>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</si>
  <si>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</si>
  <si>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</si>
  <si>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</si>
  <si>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</si>
  <si>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</si>
  <si>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</si>
  <si>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</si>
  <si>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</si>
  <si>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</si>
  <si>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</si>
  <si>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</si>
  <si>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</si>
  <si>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</si>
  <si>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</si>
  <si>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</si>
  <si>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</si>
  <si>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</si>
  <si>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</si>
  <si>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</si>
  <si>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</si>
  <si>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</si>
  <si>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</si>
  <si>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</si>
  <si>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</si>
  <si>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</si>
  <si>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</si>
  <si>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</si>
  <si>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</si>
  <si>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</si>
  <si>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</si>
  <si>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</si>
  <si>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</si>
  <si>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</si>
  <si>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</si>
  <si>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</si>
  <si>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</si>
  <si>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</si>
  <si>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</si>
  <si>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</si>
  <si>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</si>
  <si>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</si>
  <si>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</si>
  <si>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</si>
  <si>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</si>
  <si>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</si>
  <si>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</si>
  <si>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</si>
  <si>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</si>
  <si>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</si>
  <si>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</si>
  <si>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</si>
  <si>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</si>
  <si>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</si>
  <si>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</si>
  <si>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</si>
  <si>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</si>
  <si>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</si>
  <si>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</si>
  <si>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</si>
  <si>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</si>
  <si>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</si>
  <si>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</si>
  <si>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</si>
  <si>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</si>
  <si>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</si>
  <si>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</si>
  <si>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</si>
  <si>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</si>
  <si>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</si>
  <si>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</si>
  <si>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</si>
  <si>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</si>
  <si>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</si>
  <si>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</si>
  <si>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</si>
  <si>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</si>
  <si>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</si>
  <si>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</si>
  <si>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</si>
  <si>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</si>
  <si>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</si>
  <si>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</si>
  <si>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</si>
  <si>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</si>
  <si>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</si>
  <si>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</si>
  <si>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</si>
  <si>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</si>
  <si>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</si>
  <si>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</si>
  <si>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</si>
  <si>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</si>
  <si>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</si>
  <si>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</si>
  <si>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</si>
  <si>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</si>
  <si>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</si>
  <si>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</si>
  <si>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</si>
  <si>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</si>
  <si>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</si>
  <si>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</si>
  <si>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</si>
  <si>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</si>
  <si>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</si>
  <si>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</si>
  <si>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J001</t>
  </si>
  <si>
    <t>J002</t>
  </si>
  <si>
    <t>J003</t>
  </si>
  <si>
    <t>J004</t>
  </si>
  <si>
    <t>J005</t>
  </si>
  <si>
    <t>J006</t>
  </si>
  <si>
    <t>J007</t>
  </si>
  <si>
    <t>J008</t>
  </si>
  <si>
    <t>J009</t>
  </si>
  <si>
    <t>J010</t>
  </si>
  <si>
    <t>J011</t>
  </si>
  <si>
    <t>J012</t>
  </si>
  <si>
    <t>J013</t>
  </si>
  <si>
    <t>J014</t>
  </si>
  <si>
    <t>J015</t>
  </si>
  <si>
    <t>J016</t>
  </si>
  <si>
    <t>J017</t>
  </si>
  <si>
    <t>J018</t>
  </si>
  <si>
    <t>J019</t>
  </si>
  <si>
    <t>J020</t>
  </si>
  <si>
    <t>J021</t>
  </si>
  <si>
    <t>J022</t>
  </si>
  <si>
    <t>J023</t>
  </si>
  <si>
    <t>J024</t>
  </si>
  <si>
    <t>J025</t>
  </si>
  <si>
    <t>J026</t>
  </si>
  <si>
    <t>J027</t>
  </si>
  <si>
    <t>J028</t>
  </si>
  <si>
    <t>J029</t>
  </si>
  <si>
    <t>J030</t>
  </si>
  <si>
    <t>J031</t>
  </si>
  <si>
    <t>J032</t>
  </si>
  <si>
    <t>J033</t>
  </si>
  <si>
    <t>J034</t>
  </si>
  <si>
    <t>J035</t>
  </si>
  <si>
    <t>J036</t>
  </si>
  <si>
    <t>J037</t>
  </si>
  <si>
    <t>J038</t>
  </si>
  <si>
    <t>J039</t>
  </si>
  <si>
    <t>J040</t>
  </si>
  <si>
    <t>J041</t>
  </si>
  <si>
    <t>J042</t>
  </si>
  <si>
    <t>J043</t>
  </si>
  <si>
    <t>J044</t>
  </si>
  <si>
    <t>J045</t>
  </si>
  <si>
    <t>J046</t>
  </si>
  <si>
    <t>J047</t>
  </si>
  <si>
    <t>J048</t>
  </si>
  <si>
    <t>J049</t>
  </si>
  <si>
    <t>J050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</si>
  <si>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</si>
  <si>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</si>
  <si>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</si>
  <si>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</si>
  <si>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</si>
  <si>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</si>
  <si>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</si>
  <si>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</si>
  <si>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</si>
  <si>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</si>
  <si>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</si>
  <si>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</si>
  <si>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</si>
  <si>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</si>
  <si>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</si>
  <si>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</si>
  <si>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</si>
  <si>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</si>
  <si>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</si>
  <si>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</si>
  <si>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</si>
  <si>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</si>
  <si>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</si>
  <si>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</si>
  <si>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</si>
  <si>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</si>
  <si>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</si>
  <si>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</si>
  <si>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</si>
  <si>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</si>
  <si>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</si>
  <si>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</si>
  <si>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</si>
  <si>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</si>
  <si>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</si>
  <si>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</si>
  <si>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</si>
  <si>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</si>
  <si>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</si>
  <si>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</si>
  <si>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</si>
  <si>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</si>
  <si>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</si>
  <si>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</si>
  <si>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</si>
  <si>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</si>
  <si>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</si>
  <si>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</si>
  <si>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</si>
  <si>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</si>
  <si>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</si>
  <si>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</si>
  <si>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</si>
  <si>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</si>
  <si>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</si>
  <si>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</si>
  <si>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</si>
  <si>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</si>
  <si>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</si>
  <si>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</si>
  <si>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</si>
  <si>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</si>
  <si>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</si>
  <si>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</si>
  <si>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</si>
  <si>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</si>
  <si>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</si>
  <si>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</si>
  <si>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</si>
  <si>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</si>
  <si>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</si>
  <si>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</si>
  <si>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</si>
  <si>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</si>
  <si>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</si>
  <si>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</si>
  <si>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</si>
  <si>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</si>
  <si>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</si>
  <si>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</si>
  <si>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</si>
  <si>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</si>
  <si>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</si>
  <si>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</si>
  <si>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</si>
  <si>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</si>
  <si>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</si>
  <si>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</si>
  <si>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</si>
  <si>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</si>
  <si>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</si>
  <si>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</si>
  <si>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</si>
  <si>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</si>
  <si>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</si>
  <si>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</si>
  <si>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</si>
  <si>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</si>
  <si>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</si>
  <si>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</si>
  <si>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</si>
  <si>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</si>
  <si>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</si>
  <si>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</si>
  <si>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</si>
  <si>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</si>
  <si>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</si>
  <si>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</si>
  <si>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</si>
  <si>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</si>
  <si>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</si>
  <si>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</si>
  <si>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</si>
  <si>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</si>
  <si>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</si>
  <si>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</si>
  <si>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</si>
  <si>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</si>
  <si>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</si>
  <si>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</si>
  <si>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</si>
  <si>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</si>
  <si>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</si>
  <si>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</si>
  <si>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</si>
  <si>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</si>
  <si>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</si>
  <si>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</si>
  <si>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</si>
  <si>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</si>
  <si>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</si>
  <si>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</si>
  <si>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</si>
  <si>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</si>
  <si>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</si>
  <si>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</si>
  <si>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</si>
  <si>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</si>
  <si>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</si>
  <si>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</si>
  <si>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</si>
  <si>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</si>
  <si>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</si>
  <si>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</si>
  <si>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</si>
  <si>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</si>
  <si>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</si>
  <si>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</si>
  <si>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</si>
  <si>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</si>
  <si>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</si>
  <si>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</si>
  <si>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</si>
  <si>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</si>
  <si>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</si>
  <si>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</si>
  <si>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</si>
  <si>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</si>
  <si>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</si>
  <si>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</si>
  <si>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</si>
  <si>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</si>
  <si>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</si>
  <si>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</si>
  <si>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</si>
  <si>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</si>
  <si>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</si>
  <si>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</si>
  <si>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</si>
  <si>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</si>
  <si>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</si>
  <si>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</si>
  <si>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</si>
  <si>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</si>
  <si>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</si>
  <si>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</si>
  <si>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</si>
  <si>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</si>
  <si>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</si>
  <si>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</si>
  <si>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</si>
  <si>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</si>
  <si>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</si>
  <si>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</si>
  <si>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</si>
  <si>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</si>
  <si>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</si>
  <si>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</si>
  <si>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</si>
  <si>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</si>
  <si>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</si>
  <si>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</si>
  <si>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</si>
  <si>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</si>
  <si>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</si>
  <si>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</si>
  <si>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</si>
  <si>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</si>
  <si>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</si>
  <si>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</si>
  <si>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Ñ001</t>
  </si>
  <si>
    <t>Ñ002</t>
  </si>
  <si>
    <t>Ñ003</t>
  </si>
  <si>
    <t>Ñ004</t>
  </si>
  <si>
    <t>Ñ005</t>
  </si>
  <si>
    <t>Ñ006</t>
  </si>
  <si>
    <t>Ñ007</t>
  </si>
  <si>
    <t>Ñ008</t>
  </si>
  <si>
    <t>Ñ009</t>
  </si>
  <si>
    <t>Ñ010</t>
  </si>
  <si>
    <t>Ñ011</t>
  </si>
  <si>
    <t>Ñ012</t>
  </si>
  <si>
    <t>Ñ013</t>
  </si>
  <si>
    <t>Ñ014</t>
  </si>
  <si>
    <t>Ñ015</t>
  </si>
  <si>
    <t>Ñ016</t>
  </si>
  <si>
    <t>Ñ017</t>
  </si>
  <si>
    <t>Ñ018</t>
  </si>
  <si>
    <t>Ñ019</t>
  </si>
  <si>
    <t>Ñ020</t>
  </si>
  <si>
    <t>Ñ021</t>
  </si>
  <si>
    <t>Ñ022</t>
  </si>
  <si>
    <t>Ñ023</t>
  </si>
  <si>
    <t>Ñ024</t>
  </si>
  <si>
    <t>Ñ025</t>
  </si>
  <si>
    <t>Ñ026</t>
  </si>
  <si>
    <t>Ñ027</t>
  </si>
  <si>
    <t>Ñ028</t>
  </si>
  <si>
    <t>Ñ029</t>
  </si>
  <si>
    <t>Ñ030</t>
  </si>
  <si>
    <t>Ñ031</t>
  </si>
  <si>
    <t>Ñ032</t>
  </si>
  <si>
    <t>Ñ033</t>
  </si>
  <si>
    <t>Ñ034</t>
  </si>
  <si>
    <t>Ñ035</t>
  </si>
  <si>
    <t>Ñ036</t>
  </si>
  <si>
    <t>Ñ037</t>
  </si>
  <si>
    <t>Ñ038</t>
  </si>
  <si>
    <t>Ñ039</t>
  </si>
  <si>
    <t>Ñ040</t>
  </si>
  <si>
    <t>Ñ041</t>
  </si>
  <si>
    <t>Ñ042</t>
  </si>
  <si>
    <t>Ñ043</t>
  </si>
  <si>
    <t>Ñ044</t>
  </si>
  <si>
    <t>Ñ045</t>
  </si>
  <si>
    <t>Ñ046</t>
  </si>
  <si>
    <t>Ñ047</t>
  </si>
  <si>
    <t>Ñ048</t>
  </si>
  <si>
    <t>Ñ049</t>
  </si>
  <si>
    <t>Ñ050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</si>
  <si>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</si>
  <si>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</si>
  <si>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</si>
  <si>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</si>
  <si>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</si>
  <si>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</si>
  <si>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</si>
  <si>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</si>
  <si>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</si>
  <si>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</si>
  <si>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</si>
  <si>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</si>
  <si>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</si>
  <si>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</si>
  <si>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</si>
  <si>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</si>
  <si>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</si>
  <si>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</si>
  <si>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</si>
  <si>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</si>
  <si>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</si>
  <si>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</si>
  <si>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</si>
  <si>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</si>
  <si>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</si>
  <si>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</si>
  <si>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</si>
  <si>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</si>
  <si>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</si>
  <si>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</si>
  <si>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</si>
  <si>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</si>
  <si>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</si>
  <si>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</si>
  <si>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</si>
  <si>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</si>
  <si>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</si>
  <si>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</si>
  <si>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</si>
  <si>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</si>
  <si>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</si>
  <si>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</si>
  <si>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</si>
  <si>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</si>
  <si>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</si>
  <si>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</si>
  <si>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</si>
  <si>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</si>
  <si>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</si>
  <si>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</si>
  <si>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</si>
  <si>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</si>
  <si>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</si>
  <si>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</si>
  <si>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</si>
  <si>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</si>
  <si>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</si>
  <si>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</si>
  <si>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</si>
  <si>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</si>
  <si>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</si>
  <si>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</si>
  <si>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</si>
  <si>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</si>
  <si>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</si>
  <si>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</si>
  <si>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</si>
  <si>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</si>
  <si>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</si>
  <si>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</si>
  <si>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</si>
  <si>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</si>
  <si>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</si>
  <si>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</si>
  <si>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</si>
  <si>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</si>
  <si>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</si>
  <si>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</si>
  <si>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</si>
  <si>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</si>
  <si>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</si>
  <si>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</si>
  <si>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</si>
  <si>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</si>
  <si>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</si>
  <si>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</si>
  <si>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</si>
  <si>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</si>
  <si>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</si>
  <si>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</si>
  <si>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</si>
  <si>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</si>
  <si>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</si>
  <si>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</si>
  <si>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</si>
  <si>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</si>
  <si>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</si>
  <si>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</si>
  <si>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</si>
  <si>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</si>
  <si>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</si>
  <si>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</si>
  <si>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</si>
  <si>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</si>
  <si>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</si>
  <si>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</si>
  <si>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</si>
  <si>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</si>
  <si>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</si>
  <si>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</si>
  <si>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</si>
  <si>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</si>
  <si>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</si>
  <si>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</si>
  <si>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</si>
  <si>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</si>
  <si>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</si>
  <si>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</si>
  <si>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</si>
  <si>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</si>
  <si>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</si>
  <si>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</si>
  <si>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</si>
  <si>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</si>
  <si>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</si>
  <si>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</si>
  <si>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</si>
  <si>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</si>
  <si>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</si>
  <si>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</si>
  <si>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</si>
  <si>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</si>
  <si>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</si>
  <si>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</si>
  <si>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</si>
  <si>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</si>
  <si>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</si>
  <si>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</si>
  <si>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</si>
  <si>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</si>
  <si>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</si>
  <si>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</si>
  <si>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</si>
  <si>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</si>
  <si>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</si>
  <si>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</si>
  <si>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</si>
  <si>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</si>
  <si>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</si>
  <si>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</si>
  <si>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</si>
  <si>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</si>
  <si>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</si>
  <si>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</si>
  <si>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</si>
  <si>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</si>
  <si>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</si>
  <si>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</si>
  <si>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</si>
  <si>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</si>
  <si>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</si>
  <si>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</si>
  <si>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</si>
  <si>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</si>
  <si>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</si>
  <si>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</si>
  <si>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</si>
  <si>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</si>
  <si>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</si>
  <si>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</si>
  <si>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</si>
  <si>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</si>
  <si>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</si>
  <si>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</si>
  <si>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</si>
  <si>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</si>
  <si>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</si>
  <si>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</si>
  <si>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</si>
  <si>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</si>
  <si>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</si>
  <si>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</si>
  <si>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</si>
  <si>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</si>
  <si>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</si>
  <si>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</si>
  <si>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</si>
  <si>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</si>
  <si>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</si>
  <si>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</si>
  <si>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</si>
  <si>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</si>
  <si>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</si>
  <si>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</si>
  <si>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</si>
  <si>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</si>
  <si>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</si>
  <si>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</si>
  <si>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</si>
  <si>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</si>
  <si>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</si>
  <si>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</si>
  <si>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</si>
  <si>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</si>
  <si>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</si>
  <si>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</si>
  <si>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</si>
  <si>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</si>
  <si>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</si>
  <si>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</si>
  <si>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</si>
  <si>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</si>
  <si>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</si>
  <si>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</si>
  <si>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</si>
  <si>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</si>
  <si>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</si>
  <si>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</si>
  <si>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</si>
  <si>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</si>
  <si>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</si>
  <si>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</si>
  <si>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</si>
  <si>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</si>
  <si>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</si>
  <si>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</si>
  <si>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</si>
  <si>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</si>
  <si>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</si>
  <si>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</si>
  <si>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</si>
  <si>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</si>
  <si>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</si>
  <si>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</si>
  <si>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</si>
  <si>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</si>
  <si>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</si>
  <si>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</si>
  <si>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</si>
  <si>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</si>
  <si>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</si>
  <si>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</si>
  <si>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</si>
  <si>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</si>
  <si>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</si>
  <si>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</si>
  <si>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</si>
  <si>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</si>
  <si>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</si>
  <si>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</si>
  <si>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</si>
  <si>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</si>
  <si>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</si>
  <si>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</si>
  <si>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</si>
  <si>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</si>
  <si>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</si>
  <si>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</si>
  <si>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</si>
  <si>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</si>
  <si>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</si>
  <si>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</si>
  <si>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</si>
  <si>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</si>
  <si>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</si>
  <si>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</si>
  <si>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</si>
  <si>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</si>
  <si>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</si>
  <si>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</si>
  <si>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</si>
  <si>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</si>
  <si>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</si>
  <si>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</si>
  <si>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</si>
  <si>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</si>
  <si>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</si>
  <si>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</si>
  <si>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</si>
  <si>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</si>
  <si>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</si>
  <si>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</si>
  <si>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</si>
  <si>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</si>
  <si>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</si>
  <si>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</si>
  <si>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</si>
  <si>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</si>
  <si>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</si>
  <si>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</si>
  <si>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</si>
  <si>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</si>
  <si>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</si>
  <si>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</si>
  <si>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</si>
  <si>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</si>
  <si>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</si>
  <si>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</si>
  <si>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</si>
  <si>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</si>
  <si>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</si>
  <si>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</si>
  <si>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</si>
  <si>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</si>
  <si>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</si>
  <si>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</si>
  <si>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</si>
  <si>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</si>
  <si>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</si>
  <si>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</si>
  <si>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</si>
  <si>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</si>
  <si>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</si>
  <si>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</si>
  <si>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</si>
  <si>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</si>
  <si>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</si>
  <si>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</si>
  <si>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</si>
  <si>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</si>
  <si>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</si>
  <si>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</si>
  <si>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</si>
  <si>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</si>
  <si>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</si>
  <si>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</si>
  <si>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</si>
  <si>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</si>
  <si>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</si>
  <si>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</si>
  <si>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</si>
  <si>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</si>
  <si>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</si>
  <si>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</si>
  <si>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</si>
  <si>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</si>
  <si>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</si>
  <si>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</si>
  <si>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</si>
  <si>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</si>
  <si>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</si>
  <si>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</si>
  <si>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</si>
  <si>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</si>
  <si>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</si>
  <si>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</si>
  <si>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</si>
  <si>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</si>
  <si>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</si>
  <si>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</si>
  <si>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V001</t>
  </si>
  <si>
    <t>V002</t>
  </si>
  <si>
    <t>V003</t>
  </si>
  <si>
    <t>V004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</si>
  <si>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</si>
  <si>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</si>
  <si>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</si>
  <si>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</si>
  <si>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</si>
  <si>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</si>
  <si>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</si>
  <si>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</si>
  <si>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</si>
  <si>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</si>
  <si>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</si>
  <si>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</si>
  <si>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</si>
  <si>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</si>
  <si>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</si>
  <si>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</si>
  <si>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</si>
  <si>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</si>
  <si>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</si>
  <si>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</si>
  <si>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</si>
  <si>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</si>
  <si>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</si>
  <si>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</si>
  <si>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</si>
  <si>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</si>
  <si>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</si>
  <si>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</si>
  <si>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</si>
  <si>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</si>
  <si>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</si>
  <si>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</si>
  <si>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</si>
  <si>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</si>
  <si>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</si>
  <si>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</si>
  <si>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V041</t>
  </si>
  <si>
    <t>V042</t>
  </si>
  <si>
    <t>V043</t>
  </si>
  <si>
    <t>V044</t>
  </si>
  <si>
    <t>V045</t>
  </si>
  <si>
    <t>V046</t>
  </si>
  <si>
    <t>V047</t>
  </si>
  <si>
    <t>V048</t>
  </si>
  <si>
    <t>V049</t>
  </si>
  <si>
    <t>V050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</si>
  <si>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</si>
  <si>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</si>
  <si>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</si>
  <si>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</si>
  <si>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</si>
  <si>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</si>
  <si>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</si>
  <si>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</si>
  <si>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</si>
  <si>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</si>
  <si>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</si>
  <si>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</si>
  <si>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</si>
  <si>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</si>
  <si>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</si>
  <si>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</si>
  <si>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</si>
  <si>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</si>
  <si>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</si>
  <si>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</si>
  <si>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</si>
  <si>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</si>
  <si>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</si>
  <si>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</si>
  <si>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</si>
  <si>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</si>
  <si>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</si>
  <si>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</si>
  <si>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</si>
  <si>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</si>
  <si>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</si>
  <si>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</si>
  <si>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</si>
  <si>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</si>
  <si>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</si>
  <si>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</si>
  <si>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</si>
  <si>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</si>
  <si>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</si>
  <si>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</si>
  <si>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</si>
  <si>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</si>
  <si>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</si>
  <si>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</si>
  <si>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</si>
  <si>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</si>
  <si>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</si>
  <si>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</si>
  <si>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</si>
  <si>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</si>
  <si>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X001</t>
  </si>
  <si>
    <t>X002</t>
  </si>
  <si>
    <t>X003</t>
  </si>
  <si>
    <t>X004</t>
  </si>
  <si>
    <t>X005</t>
  </si>
  <si>
    <t>X006</t>
  </si>
  <si>
    <t>X007</t>
  </si>
  <si>
    <t>X008</t>
  </si>
  <si>
    <t>X009</t>
  </si>
  <si>
    <t>X010</t>
  </si>
  <si>
    <t>X011</t>
  </si>
  <si>
    <t>X012</t>
  </si>
  <si>
    <t>X013</t>
  </si>
  <si>
    <t>X014</t>
  </si>
  <si>
    <t>X015</t>
  </si>
  <si>
    <t>X016</t>
  </si>
  <si>
    <t>X017</t>
  </si>
  <si>
    <t>X018</t>
  </si>
  <si>
    <t>X019</t>
  </si>
  <si>
    <t>X020</t>
  </si>
  <si>
    <t>X021</t>
  </si>
  <si>
    <t>X022</t>
  </si>
  <si>
    <t>X023</t>
  </si>
  <si>
    <t>X024</t>
  </si>
  <si>
    <t>X025</t>
  </si>
  <si>
    <t>X026</t>
  </si>
  <si>
    <t>X027</t>
  </si>
  <si>
    <t>X028</t>
  </si>
  <si>
    <t>X029</t>
  </si>
  <si>
    <t>X030</t>
  </si>
  <si>
    <t>X031</t>
  </si>
  <si>
    <t>X032</t>
  </si>
  <si>
    <t>X033</t>
  </si>
  <si>
    <t>X034</t>
  </si>
  <si>
    <t>X035</t>
  </si>
  <si>
    <t>X036</t>
  </si>
  <si>
    <t>X037</t>
  </si>
  <si>
    <t>X038</t>
  </si>
  <si>
    <t>X039</t>
  </si>
  <si>
    <t>X040</t>
  </si>
  <si>
    <t>X041</t>
  </si>
  <si>
    <t>X042</t>
  </si>
  <si>
    <t>X043</t>
  </si>
  <si>
    <t>X044</t>
  </si>
  <si>
    <t>X045</t>
  </si>
  <si>
    <t>X046</t>
  </si>
  <si>
    <t>X047</t>
  </si>
  <si>
    <t>X048</t>
  </si>
  <si>
    <t>X049</t>
  </si>
  <si>
    <t>X050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</si>
  <si>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</si>
  <si>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</si>
  <si>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</si>
  <si>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</si>
  <si>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</si>
  <si>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</si>
  <si>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</si>
  <si>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</si>
  <si>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</si>
  <si>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</si>
  <si>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</si>
  <si>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</si>
  <si>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</si>
  <si>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</si>
  <si>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</si>
  <si>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</si>
  <si>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</si>
  <si>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</si>
  <si>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</si>
  <si>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</si>
  <si>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</si>
  <si>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</si>
  <si>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</si>
  <si>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</si>
  <si>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</si>
  <si>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</si>
  <si>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</si>
  <si>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</si>
  <si>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</si>
  <si>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</si>
  <si>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</si>
  <si>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</si>
  <si>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</si>
  <si>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</si>
  <si>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</si>
  <si>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</si>
  <si>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</si>
  <si>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</si>
  <si>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</si>
  <si>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</si>
  <si>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</si>
  <si>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</si>
  <si>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</si>
  <si>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</si>
  <si>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</si>
  <si>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</si>
  <si>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</si>
  <si>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</si>
  <si>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</si>
  <si>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</si>
  <si>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Z001</t>
  </si>
  <si>
    <t>Z002</t>
  </si>
  <si>
    <t>Z003</t>
  </si>
  <si>
    <t>Z004</t>
  </si>
  <si>
    <t>Z005</t>
  </si>
  <si>
    <t>Z006</t>
  </si>
  <si>
    <t>Z007</t>
  </si>
  <si>
    <t>Z008</t>
  </si>
  <si>
    <t>Z009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</si>
  <si>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</si>
  <si>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</si>
  <si>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</si>
  <si>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</si>
  <si>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</si>
  <si>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</si>
  <si>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</si>
  <si>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</si>
  <si>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</si>
  <si>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</si>
  <si>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Z020</t>
  </si>
  <si>
    <t>Z021</t>
  </si>
  <si>
    <t>Z022</t>
  </si>
  <si>
    <t>Z023</t>
  </si>
  <si>
    <t>Z024</t>
  </si>
  <si>
    <t>Z025</t>
  </si>
  <si>
    <t>Z026</t>
  </si>
  <si>
    <t>Z027</t>
  </si>
  <si>
    <t>Z028</t>
  </si>
  <si>
    <t>Z029</t>
  </si>
  <si>
    <t>Z030</t>
  </si>
  <si>
    <t>Z031</t>
  </si>
  <si>
    <t>Z032</t>
  </si>
  <si>
    <t>Z033</t>
  </si>
  <si>
    <t>Z034</t>
  </si>
  <si>
    <t>Z035</t>
  </si>
  <si>
    <t>Z036</t>
  </si>
  <si>
    <t>Z037</t>
  </si>
  <si>
    <t>Z038</t>
  </si>
  <si>
    <t>Z039</t>
  </si>
  <si>
    <t>Z040</t>
  </si>
  <si>
    <t>Z041</t>
  </si>
  <si>
    <t>Z042</t>
  </si>
  <si>
    <t>Z043</t>
  </si>
  <si>
    <t>Z044</t>
  </si>
  <si>
    <t>Z045</t>
  </si>
  <si>
    <t>Z046</t>
  </si>
  <si>
    <t>Z047</t>
  </si>
  <si>
    <t>Z048</t>
  </si>
  <si>
    <t>Z049</t>
  </si>
  <si>
    <t>Z050</t>
  </si>
  <si>
    <t>ARCHIVO</t>
  </si>
  <si>
    <t>ACEROPUERTAS Y MARCOS HG S.A. DE C.V.</t>
  </si>
  <si>
    <t>FIRMAS AUTORIZADAS\A001 ACEROPUERTAS Y MARCOS HG S.A. DE C.V..pdf</t>
  </si>
  <si>
    <t>06 de Marzo de 2026</t>
  </si>
  <si>
    <t>Gutierrez Rangel Hector Manuel</t>
  </si>
  <si>
    <t>Direccion</t>
  </si>
  <si>
    <t>direccion@aceropuertashg.com</t>
  </si>
  <si>
    <t>Gutierrez Torres Hector Jesus</t>
  </si>
  <si>
    <t>Gerente</t>
  </si>
  <si>
    <t>hector_9620@hotmal.com</t>
  </si>
  <si>
    <t>AFL TELECOMUNICACIONES DE MÉXICO</t>
  </si>
  <si>
    <t>24 de febrero de 2026</t>
  </si>
  <si>
    <t xml:space="preserve">Rocha Arellano Marcela Suzzet </t>
  </si>
  <si>
    <t>Coordinadora de Reclutamiento</t>
  </si>
  <si>
    <t>81963500 Ext. 3568</t>
  </si>
  <si>
    <t>marcela.rocha@aflglobal.com</t>
  </si>
  <si>
    <t>Luna Coronado Brenda Mayela</t>
  </si>
  <si>
    <t xml:space="preserve">Coordinadora de Reclutamiento </t>
  </si>
  <si>
    <t>819635000 Ext. 3534</t>
  </si>
  <si>
    <t>brenda.luna@aflglobal.com</t>
  </si>
  <si>
    <t>FIRMAS AUTORIZADAS\A002 AFL TELECOMUNICACIONES DE MÉXICO.pdf</t>
  </si>
  <si>
    <t>23 de Febrero de 2026</t>
  </si>
  <si>
    <t xml:space="preserve">Gomez Torres Cruz Isela </t>
  </si>
  <si>
    <t>Director</t>
  </si>
  <si>
    <t xml:space="preserve">Directora de Recursos Humanos </t>
  </si>
  <si>
    <t>auditoria@alanisamaroyasociados.com</t>
  </si>
  <si>
    <t xml:space="preserve">Alanis Mireles Oswaldo </t>
  </si>
  <si>
    <t>oalanis@alanisamaroyasociados.com</t>
  </si>
  <si>
    <t>Rodriguez Bulnes Saul</t>
  </si>
  <si>
    <t xml:space="preserve">Jefe de contabilidad </t>
  </si>
  <si>
    <t>sbulnes@alanisamaroyasociados.coim</t>
  </si>
  <si>
    <t>FIRMAS AUTORIZADAS\A003 ALANIS AMARO Y ASOCIADOS.pdf</t>
  </si>
  <si>
    <t>BANREGIO</t>
  </si>
  <si>
    <t>17 de Marzo de 2026</t>
  </si>
  <si>
    <t>Enriquez Fragoso Miguel Angel</t>
  </si>
  <si>
    <t>Sub-dir administrador de personal</t>
  </si>
  <si>
    <t>8181242400 Ext. 3334</t>
  </si>
  <si>
    <t>miguel.enriquez@banregio.com</t>
  </si>
  <si>
    <t>N/A</t>
  </si>
  <si>
    <t>Cavazos Diaz Rodrigo Octaviano</t>
  </si>
  <si>
    <t>Gerente administracion de personal</t>
  </si>
  <si>
    <t>8181242400 Ext. 3331</t>
  </si>
  <si>
    <t>rodrigo.cavazos@banregio.com</t>
  </si>
  <si>
    <t>N/a</t>
  </si>
  <si>
    <t xml:space="preserve">Elias Perez Caleb </t>
  </si>
  <si>
    <t>Director de personal</t>
  </si>
  <si>
    <t>8181242400 Ext 2129</t>
  </si>
  <si>
    <t>caleb.elias@banregio.com</t>
  </si>
  <si>
    <t>FIRMAS AUTORIZADAS\B001 BANREGIO.pdf</t>
  </si>
  <si>
    <t>CAT</t>
  </si>
  <si>
    <t>05 de Marzo de 2026</t>
  </si>
  <si>
    <t xml:space="preserve">Gonzalez Ivett de la Rosa </t>
  </si>
  <si>
    <t xml:space="preserve">Talent  Acquisition Specialist </t>
  </si>
  <si>
    <t>Jonathan.juarezortiz@cat.com</t>
  </si>
  <si>
    <t xml:space="preserve">Talent  Acquisition Manager </t>
  </si>
  <si>
    <t>Jonathan Juárez Ortiz</t>
  </si>
  <si>
    <t>FIRMAS AUTORIZADAS\C001 CAT.pdf</t>
  </si>
  <si>
    <t>CDR MARTINEZ ABARCA</t>
  </si>
  <si>
    <t>03 de Marzo de 2026</t>
  </si>
  <si>
    <t xml:space="preserve">Martinez Gaytan Marcos Omar </t>
  </si>
  <si>
    <t>Rrecursos Humanos</t>
  </si>
  <si>
    <t>momartinez@martinezabarca.com</t>
  </si>
  <si>
    <t xml:space="preserve">N/a </t>
  </si>
  <si>
    <t>FIRMAS AUTORIZADAS\C002 CDR MARTINEZ ABARCA.pdf</t>
  </si>
  <si>
    <t>CLEBER</t>
  </si>
  <si>
    <t xml:space="preserve">02 de Marzo de 2026 </t>
  </si>
  <si>
    <t>Perez Marta Victoria Guadalupe</t>
  </si>
  <si>
    <t xml:space="preserve">Gerente de Recursos Humanos </t>
  </si>
  <si>
    <t>victoria.perez@cleber.com</t>
  </si>
  <si>
    <t>Hernandez Olivo Cinthia Lizbeth</t>
  </si>
  <si>
    <t xml:space="preserve">Incorporacion de talento </t>
  </si>
  <si>
    <t>lizbeth.hernandez@cleber.com</t>
  </si>
  <si>
    <t>FIRMAS AUTORIZADAS\C003 CLEBER.pdf</t>
  </si>
  <si>
    <t>COMERCIALIZADORA, SERVICIOS Y SUMINISTROS INDUSTRIALES TARO</t>
  </si>
  <si>
    <t>23 de Marzo de 2026</t>
  </si>
  <si>
    <t>Gomez Vazquez Zulema</t>
  </si>
  <si>
    <t>Jefa de Capital Humano</t>
  </si>
  <si>
    <t>zulema.gomez@taro.mx</t>
  </si>
  <si>
    <t xml:space="preserve">Alvarado Segura Cecilia Abigail </t>
  </si>
  <si>
    <t>Desarrollo Organizacional</t>
  </si>
  <si>
    <t>8183328065 Ext. 101</t>
  </si>
  <si>
    <t>Cecilia.alvarado@taro.mx</t>
  </si>
  <si>
    <t>Sifuente Chavez Joel Ivan</t>
  </si>
  <si>
    <t>Reclutamiento y Selección</t>
  </si>
  <si>
    <t>Ivan.sifuentes@taro.mx</t>
  </si>
  <si>
    <t>COPAMEX INDUSTRIAS SA DE CV</t>
  </si>
  <si>
    <t>24 de Febrero de 2026</t>
  </si>
  <si>
    <t>Mata Olivares Yaresi Guadalupe</t>
  </si>
  <si>
    <t>Jefe de Reclutamiento y Seleccion</t>
  </si>
  <si>
    <t>yaresi.mata@copamex.com</t>
  </si>
  <si>
    <t>DELTA RADIOCOMUNICACION</t>
  </si>
  <si>
    <t>10 de Marzo de 2026</t>
  </si>
  <si>
    <t xml:space="preserve">Lopez Mata Leticia Itzayana </t>
  </si>
  <si>
    <t>Gerente de Recursos Humanos</t>
  </si>
  <si>
    <t>8180000720 Ext. 724</t>
  </si>
  <si>
    <t>I.lopez@deltasolutions.mx</t>
  </si>
  <si>
    <t>Rodriguez Monica Jacome</t>
  </si>
  <si>
    <t>Auxiliar de rRecursos Humanos</t>
  </si>
  <si>
    <t>8180000720 Ext. 754</t>
  </si>
  <si>
    <t>m.jacome@deltasolutions.mx</t>
  </si>
  <si>
    <t>Perez Lopez Denisse Alejandra</t>
  </si>
  <si>
    <t>Analista de Recursos Humanos</t>
  </si>
  <si>
    <t>8180000720 Ext. 729</t>
  </si>
  <si>
    <t>d.perez@deltasolutions.mx</t>
  </si>
  <si>
    <t>DESARROLLOS QUÍMICOS MUNDIALES</t>
  </si>
  <si>
    <t>26 de Febrero de 2026</t>
  </si>
  <si>
    <t>FIRMAS AUTORIZADAS\D001 DELTA RADIOCOMUNICACION.pdf</t>
  </si>
  <si>
    <t>Hernandez Morales Yesenia</t>
  </si>
  <si>
    <t>Jefe de Recursos Humanos</t>
  </si>
  <si>
    <t>8183810428 Ext. 101</t>
  </si>
  <si>
    <t>yesenia.hernandez@dequimsa.com</t>
  </si>
  <si>
    <t>FIRMAS AUTORIZADAS\D002 DESARROLLOS QUÍMICOS MUNDIALES.pdf</t>
  </si>
  <si>
    <t>Gonzalez Alvaro Jose Miguel</t>
  </si>
  <si>
    <t>Supervisora de encargados de clientes</t>
  </si>
  <si>
    <t>Fernandez Santana Melanie Cassandra</t>
  </si>
  <si>
    <t>fernandez@fintaxcontadores.com</t>
  </si>
  <si>
    <t xml:space="preserve">Carrizales Gonzalez Bryan de Jesus </t>
  </si>
  <si>
    <t xml:space="preserve">Gerente de operaciones </t>
  </si>
  <si>
    <t>bcarrizales@fintaxcontadores.com</t>
  </si>
  <si>
    <t>FIRMAS AUTORIZADAS\D003 DESPACHO K FACIL CONTADORES.pdf</t>
  </si>
  <si>
    <t>DESPACHO LEAL LOPEZ Y ASOCIADOS SC</t>
  </si>
  <si>
    <t xml:space="preserve">Leal Lopez Humberto </t>
  </si>
  <si>
    <t>Director General</t>
  </si>
  <si>
    <t>n/a</t>
  </si>
  <si>
    <t>cphumbertoleal@despacholeallopez.com</t>
  </si>
  <si>
    <t>Leal Godoy Graciela</t>
  </si>
  <si>
    <t>Encargado de Contabilidad</t>
  </si>
  <si>
    <t>gracielalgodoy@despacholeallopez.com</t>
  </si>
  <si>
    <t>FIRMAS AUTORIZADAS\D004 DESPACHO LEAL LOPEZ Y ASOCIADOS SC.pdf</t>
  </si>
  <si>
    <t>DESPACHO MARTINIANO LOZANO GONZALEZ</t>
  </si>
  <si>
    <t>25 DE Febrero de 2026</t>
  </si>
  <si>
    <t>Lozano Gonzalez Martiniano</t>
  </si>
  <si>
    <t>Titular de Despacho</t>
  </si>
  <si>
    <t>cp_despacho05@yahoo.com.mx</t>
  </si>
  <si>
    <t>Contador Publico</t>
  </si>
  <si>
    <t>anel21@gmail.com</t>
  </si>
  <si>
    <t>FIRMAS AUTORIZADAS\D005 DESPACHO MARTINIANO LOZANO GONZALEZ.pdf</t>
  </si>
  <si>
    <t>DESPACHO Optimus Contadores</t>
  </si>
  <si>
    <t>De la rosa Mata Roberto Carlos</t>
  </si>
  <si>
    <t>Administracion</t>
  </si>
  <si>
    <t>roberto@optimuscontadores.com.mx</t>
  </si>
  <si>
    <t>De la rosa Mata Alejandro Esau</t>
  </si>
  <si>
    <t>roma86@optimuscontadores.com.mx</t>
  </si>
  <si>
    <t>De la Rosa Mata Oswaldo Jesus</t>
  </si>
  <si>
    <t>jorm83@optimuscontadores.com.mx</t>
  </si>
  <si>
    <t>FIRMAS AUTORIZADAS\D006 DESPACHO Optimus Contadores.pdf</t>
  </si>
  <si>
    <t>25 de Febrero de 2026</t>
  </si>
  <si>
    <t>FIRMAS AUTORIZADAS\D007 DESPACHO VARGAS VALDEZ &amp; ASOCIADOS.pdf</t>
  </si>
  <si>
    <t>DISTRIBUIDORA DE ENLACES ELECTRONICOS</t>
  </si>
  <si>
    <t>19 de Marzo de 2026</t>
  </si>
  <si>
    <t>Ovalle Cetina Mery Alexandra</t>
  </si>
  <si>
    <t>Recursos Humanos</t>
  </si>
  <si>
    <t>rrhh@dielsa.com</t>
  </si>
  <si>
    <t>FIRMAS AUTORIZADAS\D008 DISTRIBUIDORA DE ENLACES ELECTRONICOS.pdf</t>
  </si>
  <si>
    <t>ENERGY COOLER GREEN, S.A. DE C.V.</t>
  </si>
  <si>
    <t>Sanches Camarillo Samantha</t>
  </si>
  <si>
    <t>Gerente Recursos Humanos</t>
  </si>
  <si>
    <t>samanthasanchez@energycooler.com</t>
  </si>
  <si>
    <t>Arzola Gonzalez Jaime</t>
  </si>
  <si>
    <t>Gerente de Talento</t>
  </si>
  <si>
    <t>jaimearzola@energycooler.com</t>
  </si>
  <si>
    <t>Gonzalez Gonzalez Raul Alfonso</t>
  </si>
  <si>
    <t>Representante Legal</t>
  </si>
  <si>
    <t>raulgonzalez@energycooler.com</t>
  </si>
  <si>
    <t>FIRMAS AUTORIZADAS\E001 ENERGY COOLER GREEN, S.A. DE C.V..pdf</t>
  </si>
  <si>
    <t>FIDEPROES</t>
  </si>
  <si>
    <t>Perez Sandoval Guadalupe Armida</t>
  </si>
  <si>
    <t>Directora de Administracion y Finanzas</t>
  </si>
  <si>
    <t>armida.perez@fideproesnl.gob.mx</t>
  </si>
  <si>
    <t xml:space="preserve">Garza Garza Irma Couselo </t>
  </si>
  <si>
    <t>Jefa de recursos humanos</t>
  </si>
  <si>
    <t>FIRMAS AUTORIZADAS\F001 FIDEPROES.pdf</t>
  </si>
  <si>
    <t>GAIM REGIOMONTANA</t>
  </si>
  <si>
    <t>Barboza Peña Adalia</t>
  </si>
  <si>
    <t>abarboza@aiig.com</t>
  </si>
  <si>
    <t>Garza Garcia Jose Angel</t>
  </si>
  <si>
    <t>agarza@aiig.com</t>
  </si>
  <si>
    <t>FIRMAS AUTORIZADAS\G001 GAIM REGIOMONTANA.pdf</t>
  </si>
  <si>
    <t>Grupo Galeria</t>
  </si>
  <si>
    <t>Garcia Martinez Ana Karen</t>
  </si>
  <si>
    <t>Supervisor de contrataciones</t>
  </si>
  <si>
    <t>ana.garcia@grupoaleria.com</t>
  </si>
  <si>
    <t xml:space="preserve">Rangel Cardenas Miguel A. </t>
  </si>
  <si>
    <t>Ramirez Abrego Gabriela Ana</t>
  </si>
  <si>
    <t xml:space="preserve">Jefe de contrataciones corporativo </t>
  </si>
  <si>
    <t>ana.ramirez@grupogaleria.com</t>
  </si>
  <si>
    <t>HEB</t>
  </si>
  <si>
    <t>Firias Dinorah</t>
  </si>
  <si>
    <t>Sandoval del Bosque Rayber</t>
  </si>
  <si>
    <t>Lider de Atraccion de Talento</t>
  </si>
  <si>
    <t>rsandoval@hebmex.com</t>
  </si>
  <si>
    <t>02 de Marzo de 2026</t>
  </si>
  <si>
    <t>Olivares Resedez Ignacio Jesus</t>
  </si>
  <si>
    <t>Gerente administrativo</t>
  </si>
  <si>
    <t>81303100 Ext 336756</t>
  </si>
  <si>
    <t>iolivares@infonavit.org.mx</t>
  </si>
  <si>
    <t xml:space="preserve">Villegos Arriaga Yadira Alejandra </t>
  </si>
  <si>
    <t>Analista</t>
  </si>
  <si>
    <t>81303100 Est 333706</t>
  </si>
  <si>
    <t>yavillegos@infonavit.org.mx</t>
  </si>
  <si>
    <t>Peña Reyes Victor Alfonso</t>
  </si>
  <si>
    <t xml:space="preserve">Enlace especializado </t>
  </si>
  <si>
    <t>81303100 Est 333605</t>
  </si>
  <si>
    <t>vapono@infonavit.org.mx</t>
  </si>
  <si>
    <t>FIRMAS AUTORIZADAS\I001 INFONAVIT.pdf</t>
  </si>
  <si>
    <t xml:space="preserve"> KIA</t>
  </si>
  <si>
    <t>09 de Marzo de 2026</t>
  </si>
  <si>
    <t xml:space="preserve">Medrano Navarro Juan Rafael </t>
  </si>
  <si>
    <t>Head of departament</t>
  </si>
  <si>
    <t>rafael.medrano@kia-mexico.com</t>
  </si>
  <si>
    <t xml:space="preserve">Reyes Gutierrez Martin Alejandro </t>
  </si>
  <si>
    <t xml:space="preserve">Assistant manager </t>
  </si>
  <si>
    <t>martin.reyes@kia-mexico.com</t>
  </si>
  <si>
    <t xml:space="preserve">Garcia Amaro Alonso </t>
  </si>
  <si>
    <t>Manager</t>
  </si>
  <si>
    <t>alonso.garcia@kia-mexico.com</t>
  </si>
  <si>
    <t>FIRMAS AUTORIZADAS\K001 KIA.pdf</t>
  </si>
  <si>
    <t>LOCOMOTIVE MANUFACTURING AND SERVICES, S.A. DE C.V.</t>
  </si>
  <si>
    <t>Orihuela Camacho Kena Patricia</t>
  </si>
  <si>
    <t>Lider de Recursos Humanos</t>
  </si>
  <si>
    <t>kenapatricia.orihu@wabtec.com</t>
  </si>
  <si>
    <t>FIRMAS AUTORIZADAS\L001 LOCOMOTIVE MANUFACTURING AND SERVICES, S.A. DE C.V..pdf</t>
  </si>
  <si>
    <t>MUVA</t>
  </si>
  <si>
    <t>Mendoza Javier</t>
  </si>
  <si>
    <t>Sotelo Castillo Brayan Axel</t>
  </si>
  <si>
    <t>Auxiliar de RH</t>
  </si>
  <si>
    <t>Rh1.forestal@gmuva.com</t>
  </si>
  <si>
    <t>Mireles Garcia Gloria Lizeth</t>
  </si>
  <si>
    <t>Jefe de RH</t>
  </si>
  <si>
    <t>Rh2.mma@gmuva.com</t>
  </si>
  <si>
    <t xml:space="preserve">Salinas Valero Grisel Yoselin </t>
  </si>
  <si>
    <t>Analista de RH</t>
  </si>
  <si>
    <t>Rh4.mma@gmuva.com</t>
  </si>
  <si>
    <t>FIRMAS AUTORIZADAS\M001 MUVA.pdf</t>
  </si>
  <si>
    <t>NOVASOL</t>
  </si>
  <si>
    <t>12 de Marzo de 2026</t>
  </si>
  <si>
    <t>Cantu Garza Sandra Elizabeth</t>
  </si>
  <si>
    <t>Gerente general</t>
  </si>
  <si>
    <t>scantu@novasol.mx</t>
  </si>
  <si>
    <t>Cruz Rivera Esteffania</t>
  </si>
  <si>
    <t>Jefa de Recursos Humanos</t>
  </si>
  <si>
    <t>recursoshumanos@novasol.mx</t>
  </si>
  <si>
    <t>FIRMAS AUTORIZADAS\N001 NOVASOL.pdf</t>
  </si>
  <si>
    <t>PARKER SERVICIOS DE MEXICO S.A  DE C.V</t>
  </si>
  <si>
    <t>Navarro Solis Oscar Fernando</t>
  </si>
  <si>
    <t>gloria.monreal@parker.com</t>
  </si>
  <si>
    <t>Gerente de Pis de RH</t>
  </si>
  <si>
    <t>Coordinador de RH sr</t>
  </si>
  <si>
    <t>Monreal Zamora Gloria Ivonne</t>
  </si>
  <si>
    <t xml:space="preserve">Laureano Martinez Lesly del Carmen </t>
  </si>
  <si>
    <t>lesly.laureano@parker.com</t>
  </si>
  <si>
    <t>FIRMAS AUTORIZADAS\P001 PARKER SERVICIOS DE MEXICO S.A  DE C.V.pdf</t>
  </si>
  <si>
    <t>PROVEEDORA DE INTELIGENCIA GENESIS</t>
  </si>
  <si>
    <t>18 de Marzo de 2026</t>
  </si>
  <si>
    <t>Rodriguez Salazar Miriam</t>
  </si>
  <si>
    <t>Gerente General</t>
  </si>
  <si>
    <t>miriam.rodriguiez@infinitygroup.com.mx</t>
  </si>
  <si>
    <t>Gonzalez Rodriguez Beatriz</t>
  </si>
  <si>
    <t>beatriz.gonzalez@infinitygroup.com.mx</t>
  </si>
  <si>
    <t>FIRMAS AUTORIZADAS\P002 PROVEEDORA DE INTELIGENCIA GENESIS.pdf</t>
  </si>
  <si>
    <t>PROWESS TEAM SA DE CV</t>
  </si>
  <si>
    <t xml:space="preserve">Vargas Morales Erika </t>
  </si>
  <si>
    <t>Directora</t>
  </si>
  <si>
    <t>evargas@prowessteam.com.mx</t>
  </si>
  <si>
    <t>Garcia Alvarado Carlos Abedul</t>
  </si>
  <si>
    <t>Operaciones</t>
  </si>
  <si>
    <t>Castillo Silguero Cindy Sarai</t>
  </si>
  <si>
    <t>Relaciones Laborales</t>
  </si>
  <si>
    <t>ri@prowessteam.com.mx</t>
  </si>
  <si>
    <t>cgarcia@prowessteam.com.mx</t>
  </si>
  <si>
    <t>FIRMAS AUTORIZADAS\P003 PROWESS TEAM SA DE CV.pdf</t>
  </si>
  <si>
    <t>PROYDEA</t>
  </si>
  <si>
    <t>Gonzalez Cobos Andres</t>
  </si>
  <si>
    <t>adres.gonzalez@proydea.com</t>
  </si>
  <si>
    <t>Garcia Benitez Cinthia Yoselin</t>
  </si>
  <si>
    <t>Subdireccion</t>
  </si>
  <si>
    <t>yoselin.garcia@proydea.com</t>
  </si>
  <si>
    <t xml:space="preserve">Martinez Mendez Diana Elizabeth </t>
  </si>
  <si>
    <t>dianamartinez@proydea.com</t>
  </si>
  <si>
    <t>FIRMAS AUTORIZADAS\P004 PROYDEA.pdf</t>
  </si>
  <si>
    <t>QUALTIA</t>
  </si>
  <si>
    <t>Rodriguez de Leon Alejandra</t>
  </si>
  <si>
    <t>Analista Atraccion de talento</t>
  </si>
  <si>
    <t>alejandra.rodriguez@qualtia.com</t>
  </si>
  <si>
    <t>Gonzalez Arevalo Irlanda Guadalupe</t>
  </si>
  <si>
    <t>Coordinador atraccion de talento</t>
  </si>
  <si>
    <t>irgonzal@qualita.com</t>
  </si>
  <si>
    <t>REDMAN MANUFACTURAS</t>
  </si>
  <si>
    <t>Guerra Saldaña Ana Cecilia</t>
  </si>
  <si>
    <t>recepcion.redman@gmail.com</t>
  </si>
  <si>
    <t>Sifuentes Jaime Leonardo Jairo</t>
  </si>
  <si>
    <t>tanquesytolvas@gmail.com</t>
  </si>
  <si>
    <t>Regal Beloit de Apodaca, S.DE R.L DE C.V</t>
  </si>
  <si>
    <t>Cono Hugo</t>
  </si>
  <si>
    <t>Generalista Recursos Humanos</t>
  </si>
  <si>
    <t>roberto.chavez@regalrexnord.com</t>
  </si>
  <si>
    <t>Chavez Garcia Julian Roberto</t>
  </si>
  <si>
    <t>FIRMAS AUTORIZADAS\R002 Regal Beloit de Apodaca, S.DE R.L DE C.V.pdf</t>
  </si>
  <si>
    <t>FIRMAS AUTORIZADAS\R001 REDMAN MANUFACTURAS.pdf</t>
  </si>
  <si>
    <t>RENOVACIONES POTENCIALES DE SERVICIOS ELECTRICOS E INDUSTRIALES</t>
  </si>
  <si>
    <t xml:space="preserve">Guilien Romero Jared Ernesto </t>
  </si>
  <si>
    <t xml:space="preserve">Representante legal </t>
  </si>
  <si>
    <t>rpsoluciones98@gmail.com</t>
  </si>
  <si>
    <t>Escamilla Gonzalez Martha Alicia</t>
  </si>
  <si>
    <t>FIRMAS AUTORIZADAS\R003 RENOVACIONES POTENCIALES DE SERVICIOS ELECTRICOS E INDUSTRIALES.jpeg</t>
  </si>
  <si>
    <t>ROSENBERG MEXICO</t>
  </si>
  <si>
    <t xml:space="preserve">Corona Ibarra Gerardo </t>
  </si>
  <si>
    <t>Especialista de Reclutamiento y selección</t>
  </si>
  <si>
    <t>gerardo.corona@rosenberger.com</t>
  </si>
  <si>
    <t>Monsivaes Alejandro</t>
  </si>
  <si>
    <t>Superintendente de RH</t>
  </si>
  <si>
    <t>jorge.monsivais@rosenberger.com</t>
  </si>
  <si>
    <t>Hernandez William</t>
  </si>
  <si>
    <t>Analista de capacitacion y desarrollo</t>
  </si>
  <si>
    <t>william.hernandez@roseberger.com</t>
  </si>
  <si>
    <t>FIRMAS AUTORIZADAS\R004 ROSENBERG MEXICO.pdf</t>
  </si>
  <si>
    <t>Servicios de Transporte Alamo</t>
  </si>
  <si>
    <t xml:space="preserve">Martinez Garcia Blanca </t>
  </si>
  <si>
    <t>Responsable de RH</t>
  </si>
  <si>
    <t>b.martinez@grupoalamos.net</t>
  </si>
  <si>
    <t>Pas Rivera Yessica</t>
  </si>
  <si>
    <t>Responsable de RH usa</t>
  </si>
  <si>
    <t>na</t>
  </si>
  <si>
    <t>y.paz@grupoalamos.net</t>
  </si>
  <si>
    <t>FIRMAS AUTORIZADAS\S001 Servicios de Transporte Alamo.pdf</t>
  </si>
  <si>
    <t>SERVIVIOS CJR S.A DE C.V.</t>
  </si>
  <si>
    <t xml:space="preserve">Miguel A. Rangel Cardenas </t>
  </si>
  <si>
    <t>ana.garcia@grupogaleria.com</t>
  </si>
  <si>
    <t>Ramirez Abrego Ana Gabriela</t>
  </si>
  <si>
    <t>Jefe de contrataciones corporativo</t>
  </si>
  <si>
    <t>FIRMAS AUTORIZADAS\S002 SERVIVIOS CJR S.A DE C.V..pdf</t>
  </si>
  <si>
    <t>SISTEMAS COMPUTACIONALES INTEGRALES, S.A. DE C.V.</t>
  </si>
  <si>
    <t xml:space="preserve">24 de Febrero de 2026 </t>
  </si>
  <si>
    <t>Lopez Avila Veronica Cristina</t>
  </si>
  <si>
    <t>Coordinadora de RH</t>
  </si>
  <si>
    <t xml:space="preserve">8183385880 Ext. N120 </t>
  </si>
  <si>
    <t>veronica.lopez@scisa.com.mx</t>
  </si>
  <si>
    <t>Lara Torre Matilde Cristina</t>
  </si>
  <si>
    <t>Directora de administracion</t>
  </si>
  <si>
    <t>FIRMAS AUTORIZADAS\S003 SISTEMAS COMPUTACIONALES INTEGRALES, S.A. DE C.V..pdf</t>
  </si>
  <si>
    <t>TRAMEX AMBIENTAL S.A. DE C.V.</t>
  </si>
  <si>
    <t>25 de febrero de 2026</t>
  </si>
  <si>
    <t xml:space="preserve">Martinez Jimenez Jesus Eduardo </t>
  </si>
  <si>
    <t>tramex.recursoshumanos@gmail.com</t>
  </si>
  <si>
    <t>FIRMAS AUTORIZADAS\T001 TRAMEX AMBIENTAL S.A. DE C.V..pdf</t>
  </si>
  <si>
    <t>Trouw Nutrition México</t>
  </si>
  <si>
    <t>Velazquez Raya Jose Alejandro</t>
  </si>
  <si>
    <t>HR bussines partner</t>
  </si>
  <si>
    <t>jose.velazquez@trouwnutrition.com</t>
  </si>
  <si>
    <t>Ramirez Salinas Evelin</t>
  </si>
  <si>
    <t>Coordinador de Contabilidad</t>
  </si>
  <si>
    <t>evelin.ramirez@trouwnutrition.com</t>
  </si>
  <si>
    <t>FIRMAS AUTORIZADAS\T002 Trouw Nutrition México.pdf</t>
  </si>
  <si>
    <t>TU OPCION INTELIGENTE</t>
  </si>
  <si>
    <t xml:space="preserve">Franco Tovar Jose Ricardo </t>
  </si>
  <si>
    <t>Gerente de Capítal Humano</t>
  </si>
  <si>
    <t>administracion@toi.com.mx</t>
  </si>
  <si>
    <t>Vazquez Martinez Melied Carolina</t>
  </si>
  <si>
    <t>Coordinadora de Capital Humano</t>
  </si>
  <si>
    <t>aux.adm@toi.com.mx</t>
  </si>
  <si>
    <t>FIRMAS AUTORIZADAS\T003 TU OPCION INTELIGENTE.pdf</t>
  </si>
  <si>
    <t>VIRTUS METRO-emblem capital</t>
  </si>
  <si>
    <t xml:space="preserve">03 de Marzo de 2026 </t>
  </si>
  <si>
    <t>Saavedra Torres Yahaira Edith</t>
  </si>
  <si>
    <t>Gerente RH</t>
  </si>
  <si>
    <t>edith@emblem-capital.com</t>
  </si>
  <si>
    <t>FIRMAS AUTORIZADAS\V001 VIRTUS METRO-emblem capital.pdf</t>
  </si>
  <si>
    <t>25 de Marzo 2026</t>
  </si>
  <si>
    <t xml:space="preserve">Polanco Hernandez Pedro Francisco </t>
  </si>
  <si>
    <t>Jefe de Relaciones Laborales</t>
  </si>
  <si>
    <t>8183293800 ext 3812</t>
  </si>
  <si>
    <t>ppolancoh@vito.com</t>
  </si>
  <si>
    <t>Riestra Valles Eunice Fabiola</t>
  </si>
  <si>
    <t>Coordinador Laboral</t>
  </si>
  <si>
    <t>8183293800 ext 3810</t>
  </si>
  <si>
    <t>eriestrav@vitro.com</t>
  </si>
  <si>
    <t xml:space="preserve">Barbosa Gutierrez Yasser Tadeo </t>
  </si>
  <si>
    <t>Auxiliar Laboral</t>
  </si>
  <si>
    <t>8183293800 ext 3820</t>
  </si>
  <si>
    <t>ybarbosag@vitro.com</t>
  </si>
  <si>
    <t>FIRMAS AUTORIZADAS\V002 VITRO.pdf</t>
  </si>
  <si>
    <t>Xignux</t>
  </si>
  <si>
    <t xml:space="preserve">Morales Davila Andres Azael </t>
  </si>
  <si>
    <t xml:space="preserve">Cantu Villarreal Regina </t>
  </si>
  <si>
    <t>regina.cantuv@xignux.com</t>
  </si>
  <si>
    <t>Gerente de recursos humanos</t>
  </si>
  <si>
    <t>Coordinadora de Adm y Desarrollo de personal</t>
  </si>
  <si>
    <t xml:space="preserve">Leija Hernandez Maria Virginia </t>
  </si>
  <si>
    <t>Jefe de nominas y obligaciones laborales</t>
  </si>
  <si>
    <t>virginia.leija@xignux.com</t>
  </si>
  <si>
    <t>FIRMAS AUTORIZADAS\X001 Xignux.pdf</t>
  </si>
  <si>
    <t>XK Media</t>
  </si>
  <si>
    <t>XPERTAL</t>
  </si>
  <si>
    <t>Ramos Rocha Brenda Leceli</t>
  </si>
  <si>
    <t>Ortiz Delgado Astrid Adonai</t>
  </si>
  <si>
    <t xml:space="preserve">Analista Servicios RH </t>
  </si>
  <si>
    <t>astridadonai.ortiz@xpertal.com</t>
  </si>
  <si>
    <t>FIRMAS AUTORIZADAS\X003 XPERTAL.pdf</t>
  </si>
  <si>
    <t>Ochoa Rodriguez Karla Ivonne</t>
  </si>
  <si>
    <t>Director Administrativo</t>
  </si>
  <si>
    <t>karla.ochoa@linkon.com.mx</t>
  </si>
  <si>
    <t>Mendez Hernandez Rodrigo Ivan</t>
  </si>
  <si>
    <t>Gerente de Operaciones</t>
  </si>
  <si>
    <t>rodrigo.mendez@linkon.com.mx</t>
  </si>
  <si>
    <t>Chacon Briones Karla Barbara</t>
  </si>
  <si>
    <t>Asistente Administrativo</t>
  </si>
  <si>
    <t>barbaqra.chacon@linkon.com.mx</t>
  </si>
  <si>
    <t>FIRMAS AUTORIZADAS\X002 XK Media.pdf</t>
  </si>
  <si>
    <t>25 de Abril de 2026</t>
  </si>
  <si>
    <t>Espinoza Garcia Adriana</t>
  </si>
  <si>
    <t xml:space="preserve">Jefe de RH </t>
  </si>
  <si>
    <t>adriana.espinoza@grupoavante.com.mx</t>
  </si>
  <si>
    <t xml:space="preserve">Medrano Niño David Florentino </t>
  </si>
  <si>
    <t>Jefe de Auditoria y Control interno</t>
  </si>
  <si>
    <t>david.medrano@grupoavante.com.mx</t>
  </si>
  <si>
    <t>FIRMAS AUTORIZADAS\A004 AVANTE.pdf</t>
  </si>
  <si>
    <t>24 de Marzo de 2026</t>
  </si>
  <si>
    <t>Castro Leal Margarita</t>
  </si>
  <si>
    <t>Gerente de RH</t>
  </si>
  <si>
    <t>mcastro@cemmthome.com</t>
  </si>
  <si>
    <t>Reyna Flores Ingrid Nohemi</t>
  </si>
  <si>
    <t>ireyna@cemmthome.com</t>
  </si>
  <si>
    <t>FIRMAS AUTORIZADAS\C006 CEMM MEX.pdf</t>
  </si>
  <si>
    <t>FIRMAS AUTORIZADAS\C004 COMERCIALIZADORA, SERVICIOS Y SUMINISTROS INDUSTRIALES TARO.pdf</t>
  </si>
  <si>
    <t>FIRMAS AUTORIZADAS\C005 COPAMEX INDUSTRIAS SA DE CV.pdf</t>
  </si>
  <si>
    <t>r</t>
  </si>
  <si>
    <t>DESPACHO Impuestos 360</t>
  </si>
  <si>
    <t>Sanchez Palacios Corina</t>
  </si>
  <si>
    <t xml:space="preserve">Contadora General </t>
  </si>
  <si>
    <t>cpalacios@impuestos360.com.mx</t>
  </si>
  <si>
    <t>Lámina Desplegada SA de CV</t>
  </si>
  <si>
    <t>Gonzalez Obregon Marco Aurelio</t>
  </si>
  <si>
    <t xml:space="preserve">Coordinador de selección y desarrollo </t>
  </si>
  <si>
    <t>8183896900 ext 6969</t>
  </si>
  <si>
    <t>mgonzalez@lodesa.com.mx</t>
  </si>
  <si>
    <t>26 de Marzo de 2026</t>
  </si>
  <si>
    <t>Oh Seonghyun</t>
  </si>
  <si>
    <t>jerenias.oh@nangman.mx</t>
  </si>
  <si>
    <t>Sosa Royal David Sebastian</t>
  </si>
  <si>
    <t>Asst manager</t>
  </si>
  <si>
    <t>sebastian.sosa@nanyman.mx</t>
  </si>
  <si>
    <t>Lopez Chavez Maria Fernanda</t>
  </si>
  <si>
    <t>fernanda.lopez@nangman.cmx</t>
  </si>
  <si>
    <t>EMPRESAS NUEVAS\N002 Nangman Logistics.pdf</t>
  </si>
  <si>
    <t>24 DE Marzo de 2026</t>
  </si>
  <si>
    <t>Aldana Riopelle Danya Marcela</t>
  </si>
  <si>
    <t>Gerencia Atraccion y compensaciones</t>
  </si>
  <si>
    <t>danya.aldana@stiva.com</t>
  </si>
  <si>
    <t xml:space="preserve">Garcia Rodriguez Oscar Alejandro </t>
  </si>
  <si>
    <t>Analista de Atraccion</t>
  </si>
  <si>
    <t>Norato Garcia Ana Lucia</t>
  </si>
  <si>
    <t>Analista Nominas y beneficios</t>
  </si>
  <si>
    <t>ana.norato@stiva.com</t>
  </si>
  <si>
    <t>oscar.garcia@stiva.com</t>
  </si>
  <si>
    <t>EMPRESAS NUEVAS\S004 STIVA.pdf</t>
  </si>
  <si>
    <t>Tecnocamaras, S.A. de C.V.</t>
  </si>
  <si>
    <t>Rodriguez Flores Adriana</t>
  </si>
  <si>
    <t>Administracion y recursos humanos</t>
  </si>
  <si>
    <t>administracion@tecnocam.com.mx</t>
  </si>
  <si>
    <t xml:space="preserve">Rodriguez Flores Eduardo </t>
  </si>
  <si>
    <t>eduardp@tecnocam.com.mx</t>
  </si>
  <si>
    <t>Vazquez Monsivais Juan Enrique</t>
  </si>
  <si>
    <t>Jefe de Operaciones</t>
  </si>
  <si>
    <t>operaciones@tecnocam.com.mx</t>
  </si>
  <si>
    <t>EMPRESAS NUEVAS\T004 Tecnocamaras, S.A. de C.V..pdf</t>
  </si>
  <si>
    <t>irma.garza@fideproesnl.gob.mx</t>
  </si>
  <si>
    <t>CRUZ ROJA MEXICANA</t>
  </si>
  <si>
    <t>30 de Marzo de 2026</t>
  </si>
  <si>
    <t>Contreras Farias Juanita Esmeralda</t>
  </si>
  <si>
    <t>contreras@cruzrojanuevoleon.org</t>
  </si>
  <si>
    <t>Torres Charles Angela Samantha</t>
  </si>
  <si>
    <t>Administrador de Nominas</t>
  </si>
  <si>
    <t>Auxiliar de Recursos Humanos</t>
  </si>
  <si>
    <t>scharles@cruzrojanuevoleon.org</t>
  </si>
  <si>
    <t>Lopez Martinez Maria del Rosario</t>
  </si>
  <si>
    <t>prenomina@cruzrojanuevoleon.org</t>
  </si>
  <si>
    <t>FIRMAS AUTORIZADAS\C008 CRUZ ROJA MEXICANA.pdf</t>
  </si>
  <si>
    <t>FIRMAS AUTORIZADAS\C007 CFE.pdf</t>
  </si>
  <si>
    <t>COMERCIALIZADORA INTERNACIONAL JAXI</t>
  </si>
  <si>
    <t>27 de Marzo de 2026</t>
  </si>
  <si>
    <t>Sanchez Salazar Marianelly</t>
  </si>
  <si>
    <t>Flores de Leon Jose Francisco</t>
  </si>
  <si>
    <t>contacto@jaxi.com.mx</t>
  </si>
  <si>
    <t>Leal Huerta Yadiralia Reyna</t>
  </si>
  <si>
    <t>Jefe de seguridad</t>
  </si>
  <si>
    <t>seguridadind@jaxi.com.mx</t>
  </si>
  <si>
    <t>FIRMAS AUTORIZADAS\C009 COMERCIALIZADORA INTERNACIONAL JAXI.pdf</t>
  </si>
  <si>
    <t>CALLAWAY</t>
  </si>
  <si>
    <t>07 de Abril de 2026</t>
  </si>
  <si>
    <t>Garcia Rodriguez Jazmin</t>
  </si>
  <si>
    <t>Lider de relaciones laborales</t>
  </si>
  <si>
    <t>82861700 Ext 1721</t>
  </si>
  <si>
    <t>jazmin.garcia@callawaygolf.com</t>
  </si>
  <si>
    <t>Salazar Javier</t>
  </si>
  <si>
    <t>82861700 Ext 1717</t>
  </si>
  <si>
    <t>javier.salazar@callawaygolf.com</t>
  </si>
  <si>
    <t>FIRMAS AUTORIZADAS\C010 CALLAWAY.pdf</t>
  </si>
  <si>
    <t>DEF ASESORES</t>
  </si>
  <si>
    <t>01 DE Abril de 2026</t>
  </si>
  <si>
    <t>Briones Alonso Arturo</t>
  </si>
  <si>
    <t>Gerente  General</t>
  </si>
  <si>
    <t>administracion@defasesores.com</t>
  </si>
  <si>
    <t>Treviño Guerra Lina Aimeé</t>
  </si>
  <si>
    <t>facturacion@defasesores.com</t>
  </si>
  <si>
    <t>Aguirre Ruiz Cesar Ivan</t>
  </si>
  <si>
    <t>Contador a cargo</t>
  </si>
  <si>
    <t>cesar@defasesores.com</t>
  </si>
  <si>
    <t>FIRMAS AUTORIZADAS\D010 DEF ASESORES.pdf</t>
  </si>
  <si>
    <t>Garza Baez Carmen Carolina</t>
  </si>
  <si>
    <t>Jefe de incorporacion de talento</t>
  </si>
  <si>
    <t>carolina.garza@fmexi.com</t>
  </si>
  <si>
    <t>Afelectric</t>
  </si>
  <si>
    <t>31 de Marzo de 2026</t>
  </si>
  <si>
    <t>Elizondo Serna Frida Elizabeth</t>
  </si>
  <si>
    <t>Gerente administrativa</t>
  </si>
  <si>
    <t>administracion@afelectric.com.mx</t>
  </si>
  <si>
    <t>Charles Ruiz Diana Guadalupe</t>
  </si>
  <si>
    <t>personal@afelectric.com.mx</t>
  </si>
  <si>
    <t>FIRMAS AUTORIZADAS\A005 AFelectric.pdf</t>
  </si>
  <si>
    <t>ALMEX</t>
  </si>
  <si>
    <t>06 de Abril de 2026</t>
  </si>
  <si>
    <t>Melendez Bustos Elmer Oswaldo</t>
  </si>
  <si>
    <t>Lider Nacional de Desarrollo de talento</t>
  </si>
  <si>
    <t>elmer.melendez@almex.com.mx</t>
  </si>
  <si>
    <t>Cortes Jose Esteban</t>
  </si>
  <si>
    <t>Lider Nacional Capital Humano</t>
  </si>
  <si>
    <t>jose.cortes@almex.com.mx</t>
  </si>
  <si>
    <t>Quezada Aldo Alejando</t>
  </si>
  <si>
    <t>Gerente regional de capital humano</t>
  </si>
  <si>
    <t>aldo.lozano@almex.com.mx</t>
  </si>
  <si>
    <t>FIRMAS AUTORIZADAS\A006 ALMEX.pdf</t>
  </si>
  <si>
    <t>Saucedo Estrada Ivonne Elizabeth</t>
  </si>
  <si>
    <t>Mata Ramirez Karla Victoria</t>
  </si>
  <si>
    <t>karla.mata@terex.com</t>
  </si>
  <si>
    <t>FIRMAS AUTORIZADAS\G003 GENIE QUALITY BY DESING.pdf</t>
  </si>
  <si>
    <t>FIRMAS AUTORIZADAS\G002 Grupo Galería.pdf</t>
  </si>
  <si>
    <t>AMB Insurance Brokers</t>
  </si>
  <si>
    <t>Garcia Moncada Victor Ivan</t>
  </si>
  <si>
    <t>victorgarciamx.2092@gmail.com</t>
  </si>
  <si>
    <t>Rocha Anaya Alejandro Javier</t>
  </si>
  <si>
    <t>Administrador</t>
  </si>
  <si>
    <t>alrocha65@hotmail.com</t>
  </si>
  <si>
    <t>Salazar Garcia Yadira Monserrath</t>
  </si>
  <si>
    <t>Expansion y Estrategia</t>
  </si>
  <si>
    <t>monserrathgarciamx@gmail.com</t>
  </si>
  <si>
    <t>Practicante de Recursos Humanos</t>
  </si>
  <si>
    <t>Garcia Orozco Marisol</t>
  </si>
  <si>
    <t>Gerente de Desarrollo Humano</t>
  </si>
  <si>
    <t>marisol.garcia@decoseguros.com.mx</t>
  </si>
  <si>
    <t>DECO SEGUROS</t>
  </si>
  <si>
    <t>Perez Mendoza Nailea</t>
  </si>
  <si>
    <t>Coordinadora de Desarrollo Humano</t>
  </si>
  <si>
    <t>reclutamiento@decoseguros.com.mx</t>
  </si>
  <si>
    <t>Vidales niño Omar</t>
  </si>
  <si>
    <t>Sub Director de contabilidad y fiscal</t>
  </si>
  <si>
    <t>omar.vidales@decoseguros.com.mx</t>
  </si>
  <si>
    <t>FIRMAS AUTORIZADAS\D011 DECO SEGUROS.pdf</t>
  </si>
  <si>
    <t>FIRMAS AUTORIZADAS\D009 DESPACHO Impuestos 360.pdf</t>
  </si>
  <si>
    <t>Despacho vargas valdes y asociados</t>
  </si>
  <si>
    <t>Contreras Estrada Alan Salvador</t>
  </si>
  <si>
    <t>alancontreras@vargasvaldes.com</t>
  </si>
  <si>
    <t>Hidalgo Camacho Oscar</t>
  </si>
  <si>
    <t>Coordinador</t>
  </si>
  <si>
    <t>oscarhidalgo@vargasvaldes.com</t>
  </si>
  <si>
    <t>Hernandez Ugalde Kenia Rubi</t>
  </si>
  <si>
    <t>Encargado</t>
  </si>
  <si>
    <t>keniahernandez@vargasvaldes.com</t>
  </si>
  <si>
    <t>DENSO</t>
  </si>
  <si>
    <t>08 de Abri de 2026</t>
  </si>
  <si>
    <t>Barbosa Ana</t>
  </si>
  <si>
    <t>Montoya Elizondo Alejandra</t>
  </si>
  <si>
    <t>Especialista de Recursos Humanos</t>
  </si>
  <si>
    <t>alejandra.montoya@na.denso.com</t>
  </si>
  <si>
    <t>Medina Garza Ana Isabel</t>
  </si>
  <si>
    <t>Supervisora RH</t>
  </si>
  <si>
    <t>ana.medina@na.denso.com</t>
  </si>
  <si>
    <t>Cruz Salais Ileana</t>
  </si>
  <si>
    <t>Asistente de Gerente Recursos Humanos</t>
  </si>
  <si>
    <t>ileana.cruz@na.denso.com</t>
  </si>
  <si>
    <t>FIRMAS AUTORIZADAS\D012 DENSO.pdf</t>
  </si>
  <si>
    <t>ADVISER CONSULTORES</t>
  </si>
  <si>
    <t>14 de abril de 2026</t>
  </si>
  <si>
    <t>Torres Vazquez Sandra Patricia</t>
  </si>
  <si>
    <t xml:space="preserve">Gerente  </t>
  </si>
  <si>
    <t>sandra@adviser.mx</t>
  </si>
  <si>
    <t>FIRMAS AUTORIZADAS\A008 ADVISER CONSULTORES.pdf</t>
  </si>
  <si>
    <t>FIRMAS AUTORIZADAS\A007 AMB Insurance Brokers.pdf</t>
  </si>
  <si>
    <t>31 DE Marzo de 2026</t>
  </si>
  <si>
    <t>Farmacias benavides</t>
  </si>
  <si>
    <t>Jefe de atraccion y gestion de talento</t>
  </si>
  <si>
    <t>81507700 Ext. 1621</t>
  </si>
  <si>
    <t>miralda.guerra@benavides.com.mx</t>
  </si>
  <si>
    <t>Guerra Martinez Miralda Aide</t>
  </si>
  <si>
    <t>Mariel Villarreal Karla</t>
  </si>
  <si>
    <t>Coordinadora de Gestion de Talento</t>
  </si>
  <si>
    <t>81507700 Ext.3307</t>
  </si>
  <si>
    <t>karla.villarreal@benavides.com.mx</t>
  </si>
  <si>
    <t>FIRMAS AUTORIZADAS\F003 farmacias benavides.pdf</t>
  </si>
  <si>
    <t>FIRMAS AUTORIZADAS\F002 Financiería MEXI.pdf</t>
  </si>
  <si>
    <t>HYUNDAI</t>
  </si>
  <si>
    <t>Barboza Lopez Daniel</t>
  </si>
  <si>
    <t>Martinez Morin Oswaldo</t>
  </si>
  <si>
    <t>Training y recruitment</t>
  </si>
  <si>
    <t>oswaldo.martinez@hundai-transys.com</t>
  </si>
  <si>
    <t>FIRMAS AUTORIZADAS\H002 HYUNDAI.pdf</t>
  </si>
  <si>
    <t>FIRMAS AUTORIZADAS\H001 HEB.pdf</t>
  </si>
  <si>
    <t>Acevedo Cantu Jorge Orlando</t>
  </si>
  <si>
    <t>Representante de Recursos Humanos</t>
  </si>
  <si>
    <t>orlando.acevedo@icumed.com</t>
  </si>
  <si>
    <t>Garza Tovar Vanessa Mariel</t>
  </si>
  <si>
    <t>Mro compradora</t>
  </si>
  <si>
    <t>vanessa.garza@icumed.com</t>
  </si>
  <si>
    <t>Gonzalez Araiza Andrea Victoria</t>
  </si>
  <si>
    <t xml:space="preserve">Principle buyer </t>
  </si>
  <si>
    <t>andreavictoria.gonzalez@icumed.com</t>
  </si>
  <si>
    <t>FIRMAS AUTORIZADAS\I002 ICUMEDICAL.pdf</t>
  </si>
  <si>
    <t>Inics America</t>
  </si>
  <si>
    <t>Medina Daniel</t>
  </si>
  <si>
    <t>Gerente de importacion y exportacion</t>
  </si>
  <si>
    <t>daniel.medina@inics-america.com</t>
  </si>
  <si>
    <t>Martinez Yolanda</t>
  </si>
  <si>
    <t>ventas</t>
  </si>
  <si>
    <t>yolanda@inic-america.com</t>
  </si>
  <si>
    <t>Lara Diana</t>
  </si>
  <si>
    <t>Ventas</t>
  </si>
  <si>
    <t>diana@incs-america.com</t>
  </si>
  <si>
    <t>FIRMAS AUTORIZADAS\I003 Inics America.pdf</t>
  </si>
  <si>
    <t>Maqicsa</t>
  </si>
  <si>
    <t>Casillas Soto Rufina Idala</t>
  </si>
  <si>
    <t>Contador</t>
  </si>
  <si>
    <t>administracion@maquinados casillas.com</t>
  </si>
  <si>
    <t>14 de Abril de 2026</t>
  </si>
  <si>
    <t>FIRMAS AUTORIZADAS\M002 Maqicsa.pdf</t>
  </si>
  <si>
    <t>09 de abril de 2026</t>
  </si>
  <si>
    <t>Lazaro Flores Gerardo Jair</t>
  </si>
  <si>
    <t xml:space="preserve">Contador General </t>
  </si>
  <si>
    <t>gerardo.flores@monfroy.mx</t>
  </si>
  <si>
    <t>Rojas Cantu Eduardo</t>
  </si>
  <si>
    <t>eduardo.rojas@monfroy.mx</t>
  </si>
  <si>
    <t>Goytortua Frias Miguel Angel</t>
  </si>
  <si>
    <t>Socio</t>
  </si>
  <si>
    <t>miguel@monfroy.mx</t>
  </si>
  <si>
    <t>FIRMAS AUTORIZADAS\M003 MONFROY GROUP.pdf</t>
  </si>
  <si>
    <t>Palmex</t>
  </si>
  <si>
    <t>02 de Abril de 2026</t>
  </si>
  <si>
    <t>Bustamante Treviño Miguel Angel</t>
  </si>
  <si>
    <t xml:space="preserve">Jefatura de RH </t>
  </si>
  <si>
    <t>miguel.bustamante@monarcasnacrs.com</t>
  </si>
  <si>
    <t xml:space="preserve">Ramirez Serrato Evelyn Esmeralda </t>
  </si>
  <si>
    <t>General de recursos humanos</t>
  </si>
  <si>
    <t>evelyn.ramirez@monarcasnacrs.com</t>
  </si>
  <si>
    <t>FIRMAS AUTORIZADAS\P005 Palmex.pdf</t>
  </si>
  <si>
    <t>BNEXT</t>
  </si>
  <si>
    <t>15 de Abril de 2026</t>
  </si>
  <si>
    <t>Garcia Lopez Gabriela</t>
  </si>
  <si>
    <t>ggarcial@bnext.mx</t>
  </si>
  <si>
    <t>FIRMAS AUTORIZADAS\B002 BNEXT.pdf</t>
  </si>
  <si>
    <t>GRUPO QUIRAN</t>
  </si>
  <si>
    <t>Hospital Universitario UANL</t>
  </si>
  <si>
    <t>Salinas Zertuche Alfonso</t>
  </si>
  <si>
    <t>salinasz@gmail.com</t>
  </si>
  <si>
    <t>FIRMAS AUTORIZADAS\H003 Hospital Universitario UANL.pdf</t>
  </si>
  <si>
    <t>13 de Abril de 2026</t>
  </si>
  <si>
    <t>Martinez Moreno Daniel</t>
  </si>
  <si>
    <t>Gerente Capital Humano</t>
  </si>
  <si>
    <t>recursoshumanos@checkplus.com.mx</t>
  </si>
  <si>
    <t>8181222120 Ext 2411</t>
  </si>
  <si>
    <t>Ortiz Guzman Nidia Lisseth</t>
  </si>
  <si>
    <t>Coordinador Capital Humano</t>
  </si>
  <si>
    <t>8181222120 Ext 2434</t>
  </si>
  <si>
    <t>reclutamiento@checkplus.com.mx</t>
  </si>
  <si>
    <t>FIRMAS AUTORIZADAS\I004 IMPULSO COMERCIAL INTERNACIONAL.pdf</t>
  </si>
  <si>
    <t>PERFILES LM</t>
  </si>
  <si>
    <t>Peña Salazar Jesus Eliezer</t>
  </si>
  <si>
    <t>jpena@aliacer.com</t>
  </si>
  <si>
    <t>Santana Guerrero Raymundo Misael</t>
  </si>
  <si>
    <t>Auxiliar Recursos Humanos</t>
  </si>
  <si>
    <t>rsantana@aliacer.com</t>
  </si>
  <si>
    <t>Ayala Patena Gustavo</t>
  </si>
  <si>
    <t>gayala@aliacer.com</t>
  </si>
  <si>
    <t>FIRMAS AUTORIZADAS\P006 PERFILES LM.pdf</t>
  </si>
  <si>
    <t>PRACAME</t>
  </si>
  <si>
    <t>Luna de la Torre Alicia Abygail</t>
  </si>
  <si>
    <t>abrbosa@pracame.com</t>
  </si>
  <si>
    <t>Teran Maldonado Graciela Guadalupe</t>
  </si>
  <si>
    <t>Coordinadora Operaciones</t>
  </si>
  <si>
    <t>gteran@pracame.com</t>
  </si>
  <si>
    <t>FIRMAS AUTORIZADAS\P007 PRACAME.pdf</t>
  </si>
  <si>
    <t>PRECISION CABLE ASSEMBLIES MEXICO</t>
  </si>
  <si>
    <t>Alonso Mario</t>
  </si>
  <si>
    <t>814738400 Ext 490</t>
  </si>
  <si>
    <t>malonso@pca-IIC.com</t>
  </si>
  <si>
    <t>Heredia Itzel</t>
  </si>
  <si>
    <t>Generalista de Recursos Humanos</t>
  </si>
  <si>
    <t>8147382400 Ext 1000</t>
  </si>
  <si>
    <t>iheredia@pca-IIC.com</t>
  </si>
  <si>
    <t>Aranda Karen</t>
  </si>
  <si>
    <t>Analista de Contabilidad y Cuentas por pagar</t>
  </si>
  <si>
    <t>814738400 Ext 1003</t>
  </si>
  <si>
    <t>karanda@pca-Iil.com</t>
  </si>
  <si>
    <t>FIRMAS AUTORIZADAS\P008 PRECISION CABLE ASSEMBLIES MEXICO.pdf</t>
  </si>
  <si>
    <t>Silva Arredondo Flor Maria</t>
  </si>
  <si>
    <t>Coordinadora</t>
  </si>
  <si>
    <t>saif0969622@uanl.edu.mx</t>
  </si>
  <si>
    <t>Picon Ibarra Sanjuanita</t>
  </si>
  <si>
    <t>Responsable de servicio social y practicas</t>
  </si>
  <si>
    <t>sanjuanita.piconib@uanl.edu.mx</t>
  </si>
  <si>
    <t>Schneider Electric</t>
  </si>
  <si>
    <t>15 de abril de 2026</t>
  </si>
  <si>
    <t>Osorio Neyra Daniela</t>
  </si>
  <si>
    <t>HR consultant and analytics</t>
  </si>
  <si>
    <t>daniela.osorio@se.com</t>
  </si>
  <si>
    <t>FIRMAS AUTORIZADAS\S005 Schneider Electric.pdf</t>
  </si>
  <si>
    <t>Ramirez Reyes Liliana Elizabeth</t>
  </si>
  <si>
    <t>Incoirporacion de talento</t>
  </si>
  <si>
    <t>liliana.raqmirez@sisamax.com.mx</t>
  </si>
  <si>
    <t>Garcia Morales Aime Cecilia</t>
  </si>
  <si>
    <t>Incorporacion de talento y capacitacion</t>
  </si>
  <si>
    <t>ADNE-Adminsitración</t>
  </si>
  <si>
    <t>Mata Sifuentes Ramon</t>
  </si>
  <si>
    <t>Responsable de Recursos Humanos</t>
  </si>
  <si>
    <t>emata@adnenergia.com</t>
  </si>
  <si>
    <t>Gavito Perez Miguel Angel</t>
  </si>
  <si>
    <t>Tesorero</t>
  </si>
  <si>
    <t>mgavito@adnenergia.com</t>
  </si>
  <si>
    <t>Gonzalez Maldonado Raul Jaime</t>
  </si>
  <si>
    <t>Director de Finanzas</t>
  </si>
  <si>
    <t>rgonzalez@adnenergia.com</t>
  </si>
  <si>
    <t>FIRMAS AUTORIZADAS\A009 ADNE-Adminsitración.pdf</t>
  </si>
  <si>
    <t>ANVARO CONSTRUCTORA</t>
  </si>
  <si>
    <t>Mandujano Landin Yazmin</t>
  </si>
  <si>
    <t>Contabilidad y administracion</t>
  </si>
  <si>
    <t>yazminmandujano22@gmail.com</t>
  </si>
  <si>
    <t>Mandujano Landin Anayajaira</t>
  </si>
  <si>
    <t>Derecho Fiscal</t>
  </si>
  <si>
    <t>mandujanoana@hotmal.com</t>
  </si>
  <si>
    <t>Villalobos Zamarripa Sergio</t>
  </si>
  <si>
    <t>Contabilidad</t>
  </si>
  <si>
    <t>villalobosconta@gmail.com</t>
  </si>
  <si>
    <t>FIRMAS AUTORIZADAS\A010 ANVARO CONSTRUCTORA.pdf</t>
  </si>
  <si>
    <t>Carnes Finas de la Region</t>
  </si>
  <si>
    <t>Alejandro Garcia Andrea Aranza</t>
  </si>
  <si>
    <t>Encargada de Recursos Humanos</t>
  </si>
  <si>
    <t>a-aranza10@hotmail.com</t>
  </si>
  <si>
    <t>FIRMAS AUTORIZADAS\C011 Carnes Finas de la Region.pdf</t>
  </si>
  <si>
    <t>DESPACHO MONTEMAYOR</t>
  </si>
  <si>
    <t>Montemayor Altamirano Olegario</t>
  </si>
  <si>
    <t>Jefe Administrativo</t>
  </si>
  <si>
    <t>montemayordespacho@gmail.com</t>
  </si>
  <si>
    <t>FIRMAS AUTORIZADAS\D013 DESPACHO MONTEMAYOR.pdf</t>
  </si>
  <si>
    <t>Quimicalderas</t>
  </si>
  <si>
    <t>Cruz Cantu Ana Lidia</t>
  </si>
  <si>
    <t>acantu@quimicalderas.com</t>
  </si>
  <si>
    <t xml:space="preserve">Martinez Correa Andres Gerardo </t>
  </si>
  <si>
    <t>amartinez@quimicalderas.com</t>
  </si>
  <si>
    <t>FIRMAS AUTORIZADAS\Q002 Quimicalderas.pdf</t>
  </si>
  <si>
    <t>SERVICIOS CONTABLES GUAJARDO</t>
  </si>
  <si>
    <t>Guajardo Chavez Luis Antonio</t>
  </si>
  <si>
    <t>scguajardo16@hotmail.com</t>
  </si>
  <si>
    <t>FIRMAS AUTORIZADAS\S007 SERVICIOS CONTABLES GUAJARDO.pdf</t>
  </si>
  <si>
    <t>FIRMAS AUTORIZADAS\S006 SISAMEX.pdf</t>
  </si>
  <si>
    <t>BRAVO</t>
  </si>
  <si>
    <t>Yañez Arreola Ernesto</t>
  </si>
  <si>
    <t>Gonzalez Aguilar Andrea Michelle</t>
  </si>
  <si>
    <t xml:space="preserve">Analista de atraccion de talento </t>
  </si>
  <si>
    <t>andrea.gonzalez@bravo1.com</t>
  </si>
  <si>
    <t>FIRMAS AUTORIZADAS\B003 BRAVO.pdf</t>
  </si>
  <si>
    <t>BYDSA</t>
  </si>
  <si>
    <t>08 de Abril de 2026</t>
  </si>
  <si>
    <t>Reina Cisneros Nancy Elizabeth</t>
  </si>
  <si>
    <t xml:space="preserve">Jefatura de Desarrollo Organizacional y Talento </t>
  </si>
  <si>
    <t>nancyelizabeth.reina@bydsa.com</t>
  </si>
  <si>
    <t>Torres Orozco Cristian Rafael</t>
  </si>
  <si>
    <t xml:space="preserve">Coordinador Desarrollo Organizacional y Talento </t>
  </si>
  <si>
    <t>cristianrafael.torres@bydsa.com</t>
  </si>
  <si>
    <t>FIRMAS AUTORIZADAS\B004 BYDSA.pdf</t>
  </si>
  <si>
    <t>Car One Group</t>
  </si>
  <si>
    <t xml:space="preserve">17 de Abril de 2026 </t>
  </si>
  <si>
    <t>Martinez Gonzalez Homero</t>
  </si>
  <si>
    <t>Alanis Almaguer Laura</t>
  </si>
  <si>
    <t xml:space="preserve">Coordinador de reclutamiento y selección </t>
  </si>
  <si>
    <t>lalanis@carone.com.mx</t>
  </si>
  <si>
    <t>Castelec Internacional</t>
  </si>
  <si>
    <t xml:space="preserve">Torres Tamez Patricia </t>
  </si>
  <si>
    <t>8181513535 Ext 162</t>
  </si>
  <si>
    <t>contrata2@castelec.com</t>
  </si>
  <si>
    <t>CAVI</t>
  </si>
  <si>
    <t>Montalvo Espinosa Jose Luis</t>
  </si>
  <si>
    <t>8150005353 Ext 127</t>
  </si>
  <si>
    <t>nominas@frutascavi.com</t>
  </si>
  <si>
    <t xml:space="preserve">Cruz Herrera Arnulfo Alejandro </t>
  </si>
  <si>
    <t>Jefe de Contabilidad</t>
  </si>
  <si>
    <t>8150005353 Ext 125</t>
  </si>
  <si>
    <t>contabilidad2@frutacavi.com</t>
  </si>
  <si>
    <t>FIRMAS AUTORIZADAS\C014 CAVI.pdf</t>
  </si>
  <si>
    <t>FIRMAS AUTORIZADAS\C012 Car One Group.pdf</t>
  </si>
  <si>
    <t>FIRMAS AUTORIZADAS\C013 Castelec Internacional.pdf</t>
  </si>
  <si>
    <t>CHAVEZ DURAN-Asesoria Fiscal y Contable</t>
  </si>
  <si>
    <t>Chavez Duran Jesus Enrique</t>
  </si>
  <si>
    <t>chavezduranyciaa@hotmail.com</t>
  </si>
  <si>
    <t>FIRMAS AUTORIZADAS\C015 CHAVEZ DURAN-Asesoria Fiscal y Contable.pdf</t>
  </si>
  <si>
    <t>CINDEMEX</t>
  </si>
  <si>
    <t>16 de Abril de 2026</t>
  </si>
  <si>
    <t xml:space="preserve">Montemayor Garza Javier </t>
  </si>
  <si>
    <t>Jefe</t>
  </si>
  <si>
    <t>contaqbilidad2@cindemex.com</t>
  </si>
  <si>
    <t>Hernandez Morales Maria Luisa</t>
  </si>
  <si>
    <t>Subjefe</t>
  </si>
  <si>
    <t>luisahdz@cindemex.com</t>
  </si>
  <si>
    <t>FIRMAS AUTORIZADAS\C016 CINDEMEX.pdf</t>
  </si>
  <si>
    <t>Consultores Saldívar S.C.</t>
  </si>
  <si>
    <t>18 de Abril de 2026</t>
  </si>
  <si>
    <t xml:space="preserve">Saldivar Rodriguez Juan Alberto </t>
  </si>
  <si>
    <t>jsaldivar@csaldivar.com.mx</t>
  </si>
  <si>
    <t>FIRMAS AUTORIZADAS\C017 Consultores Saldívar S.C..pdf</t>
  </si>
  <si>
    <t>17 de Abril de 2026</t>
  </si>
  <si>
    <t>ENVIAFLORES</t>
  </si>
  <si>
    <t>Treviño Tamez Antonio Karim</t>
  </si>
  <si>
    <t>contralor@enviaflores.com</t>
  </si>
  <si>
    <t>Cazares Mancillas Ricardo de Jesus</t>
  </si>
  <si>
    <t>Lider Fiscal</t>
  </si>
  <si>
    <t>ricardo.cazares@enviaflores.com</t>
  </si>
  <si>
    <t xml:space="preserve">Huerta Amador Fabiola Alejandra </t>
  </si>
  <si>
    <t>Analista de Talento y Cultura</t>
  </si>
  <si>
    <t>fabiola.huerta@enviaflores.com</t>
  </si>
  <si>
    <t>FIRMAS AUTORIZADAS\E002 ENVIAFLORES.pdf</t>
  </si>
  <si>
    <t xml:space="preserve">Campos Rivera Juan Alejandro </t>
  </si>
  <si>
    <t xml:space="preserve">Castillo Sauceda Maria Amelia </t>
  </si>
  <si>
    <t xml:space="preserve">Gerente administrativo </t>
  </si>
  <si>
    <t>acastillo@grupoquiran.com</t>
  </si>
  <si>
    <t>Ibarra Torres Yesenia Leticia</t>
  </si>
  <si>
    <t>Gerente de Tesoreria</t>
  </si>
  <si>
    <t>yibarra@qxcapital.com.mx</t>
  </si>
  <si>
    <t xml:space="preserve">Pineda Celestino Ricardo </t>
  </si>
  <si>
    <t>Gerente de Capital Humano</t>
  </si>
  <si>
    <t>rpinedaqgrupoquiran.com</t>
  </si>
  <si>
    <t>FIRMAS AUTORIZADAS\G004 GRUPO QUIRAN.pdf</t>
  </si>
  <si>
    <t>HFZ-CONTADORES</t>
  </si>
  <si>
    <t>Cavazos Estrada Eliezer jehu</t>
  </si>
  <si>
    <t>83484644 Ext 121</t>
  </si>
  <si>
    <t>recursoshumanos@hfz-contadores.com</t>
  </si>
  <si>
    <t>Salinas Madrigal Sandra Zulema</t>
  </si>
  <si>
    <t>Asistente Directivo</t>
  </si>
  <si>
    <t xml:space="preserve">83484644 ext 120 </t>
  </si>
  <si>
    <t>ssalinas@hfz-contadores-.com</t>
  </si>
  <si>
    <t>FIRMAS AUTORIZADAS\H004 HFZ-CONTADORES.pdf</t>
  </si>
  <si>
    <t>AKZO NOBEL</t>
  </si>
  <si>
    <t xml:space="preserve">Rangel Salazar Claudia Elizabeth </t>
  </si>
  <si>
    <t xml:space="preserve">Generalista Recursos Humanos </t>
  </si>
  <si>
    <t>claudia.rangel@akzonobel.com</t>
  </si>
  <si>
    <t xml:space="preserve">Ramirez Luna Edgar Javier </t>
  </si>
  <si>
    <t>Asesor de Recursos Humanos</t>
  </si>
  <si>
    <t>edgar.ramirez@akzonobel.com</t>
  </si>
  <si>
    <t>FIRMAS AUTORIZADAS\A011 AKZO NOBEL.pdf</t>
  </si>
  <si>
    <t xml:space="preserve">Carrillo Galindo Isidro </t>
  </si>
  <si>
    <t>Encargado de Recursos Humanos</t>
  </si>
  <si>
    <t>isidrocarrillo@gmail.com</t>
  </si>
  <si>
    <t>Martinez Hernandez Lucio Antonio</t>
  </si>
  <si>
    <t>supervisor3.avaya@gmail.com</t>
  </si>
  <si>
    <t>FIRMAS AUTORIZADAS\A012 Alvarado Vargas Arangua y Asociados S.C..pdf</t>
  </si>
  <si>
    <t>ARCACONTINENTAL-COCA COLA</t>
  </si>
  <si>
    <t xml:space="preserve">Barcena Juarez Manuel Arturo </t>
  </si>
  <si>
    <t>Jefe de Capital Humano y proyectos</t>
  </si>
  <si>
    <t>manuel.barcena@arcacontal.com</t>
  </si>
  <si>
    <t xml:space="preserve">Aldama Morales Fabiola Merari </t>
  </si>
  <si>
    <t>Fabiola.aldama@arcacontal.com</t>
  </si>
  <si>
    <t>FIRMAS AUTORIZADAS\A013 ARCACONTINENTAL-COCA COLA.pdf</t>
  </si>
  <si>
    <t>Autenticos Tigres</t>
  </si>
  <si>
    <t>Peña Montemayor Arturo Horacio</t>
  </si>
  <si>
    <t>Coordinador Administrativo</t>
  </si>
  <si>
    <t>8183294000 Ext 6204</t>
  </si>
  <si>
    <t>arturo.penam@uanl.mx</t>
  </si>
  <si>
    <t>Zamora Montemayor Juan Antonio</t>
  </si>
  <si>
    <t>Entrenador en Jefe Autenticos Tigres</t>
  </si>
  <si>
    <t>8183294000 Ext 4206</t>
  </si>
  <si>
    <t>juan.zamoram@uanl.mx</t>
  </si>
  <si>
    <t>FIRMAS AUTORIZADAS\A014 Autenticos Tigres.pdf</t>
  </si>
  <si>
    <t>BITZER</t>
  </si>
  <si>
    <t xml:space="preserve">Villalobos Pozos Miguel Angel </t>
  </si>
  <si>
    <t>mvillalobos@bitzermexico.com</t>
  </si>
  <si>
    <t>FIRMAS AUTORIZADAS\B005 BITZER.pdf</t>
  </si>
  <si>
    <t>Budenheim</t>
  </si>
  <si>
    <t>Lopez Cervantes Narda Deyanira</t>
  </si>
  <si>
    <t>deyanira.lopez@budenheim.com</t>
  </si>
  <si>
    <t xml:space="preserve">Esparza Garcia Martha </t>
  </si>
  <si>
    <t>Especialista de recursos humanos</t>
  </si>
  <si>
    <t>martha.esparza@budenheim.com</t>
  </si>
  <si>
    <t>FIRMAS AUTORIZADAS\B006 Budenheim.pdf</t>
  </si>
  <si>
    <t xml:space="preserve">De Osio Rojas Jorge Adrian </t>
  </si>
  <si>
    <t>Asesor Integral recursos humanos</t>
  </si>
  <si>
    <t>jorgeadrian.deosio@cemex.com</t>
  </si>
  <si>
    <t xml:space="preserve">Rodriguez Prada David Ulises </t>
  </si>
  <si>
    <t>Coordinador Desincorporacion activas</t>
  </si>
  <si>
    <t>davidulises.rodriguez@cemex.com</t>
  </si>
  <si>
    <t>Espinoza Ramirez Jose Guadalupe</t>
  </si>
  <si>
    <t xml:space="preserve">Asesor de recursos humanos </t>
  </si>
  <si>
    <t>joseg.espinozar@cemex.com</t>
  </si>
  <si>
    <t>FIRMAS AUTORIZADAS\C018 CEMEX.pdf</t>
  </si>
  <si>
    <t>Centro Acción Humanista y Responsabilidad Social UANL</t>
  </si>
  <si>
    <t xml:space="preserve">20 de Abril de 2026 </t>
  </si>
  <si>
    <t xml:space="preserve">Juarez Saavedra Janeth </t>
  </si>
  <si>
    <t>ceahrs.ftsydh@uanl.mx</t>
  </si>
  <si>
    <t>FIRMAS AUTORIZADAS\C019 Centro Acción Humanista y Responsabilidad Social UANL.pdf</t>
  </si>
  <si>
    <t>CICSA</t>
  </si>
  <si>
    <t xml:space="preserve">15 de Abril de 2026 </t>
  </si>
  <si>
    <t xml:space="preserve">Bada Mar Rodrigo Fazur </t>
  </si>
  <si>
    <t xml:space="preserve">Jefe de Recursos Humanos </t>
  </si>
  <si>
    <t>rodrigo.bada@cicsagzz.com</t>
  </si>
  <si>
    <t>FIRMAS AUTORIZADAS\C020 CICSA.pdf</t>
  </si>
  <si>
    <t>COLDS</t>
  </si>
  <si>
    <t xml:space="preserve">De luna del angel Fabiola Abigail </t>
  </si>
  <si>
    <t>Lider de desarrollo humano</t>
  </si>
  <si>
    <t>talento@colds.com.mx</t>
  </si>
  <si>
    <t xml:space="preserve">Roque castillas melany osiris </t>
  </si>
  <si>
    <t>Analista de desarrollo humano</t>
  </si>
  <si>
    <t>mroque@colds.com.mx</t>
  </si>
  <si>
    <t>FIRMAS AUTORIZADAS\C021 COLDS.pdf</t>
  </si>
  <si>
    <t>ContourGlobal</t>
  </si>
  <si>
    <t xml:space="preserve">Hurtado Arbona Adriana </t>
  </si>
  <si>
    <t>Recursos Humanos Regional</t>
  </si>
  <si>
    <t>adriana.hurtado@contourglobal.com</t>
  </si>
  <si>
    <t>FIRMAS AUTORIZADAS\C022 ContourGlobal.pdf</t>
  </si>
  <si>
    <t>Danfoss</t>
  </si>
  <si>
    <t>20 de Abril de 2026</t>
  </si>
  <si>
    <t xml:space="preserve">Salas Cuellar Javier </t>
  </si>
  <si>
    <t xml:space="preserve">Socio de Taleno para Funciones Corporativas </t>
  </si>
  <si>
    <t>javier.cuellar@danfoss.com</t>
  </si>
  <si>
    <t>FIRMAS AUTORIZADAS\D014 Danfoss.pdf</t>
  </si>
  <si>
    <t>Dirección de Auditoría Interna de la U.A.N.L.</t>
  </si>
  <si>
    <t xml:space="preserve">Bojorquez Saucedo Laura Melina </t>
  </si>
  <si>
    <t>Auditora Interna de la UANL</t>
  </si>
  <si>
    <t xml:space="preserve">Herrera Tijerina Nydia Karla </t>
  </si>
  <si>
    <t>Coordinadora Administrativa</t>
  </si>
  <si>
    <t>nydia.herrera@uanl.com</t>
  </si>
  <si>
    <t>FIRMAS AUTORIZADAS\D015 Dirección de Auditoría Interna de la U.A.N.L..pdf</t>
  </si>
  <si>
    <t>DRAXON</t>
  </si>
  <si>
    <t>Gomez Ortega Angel Miguel</t>
  </si>
  <si>
    <t>Ingenieria</t>
  </si>
  <si>
    <t>angel.gomez@draxon.mx</t>
  </si>
  <si>
    <t>FIRMAS AUTORIZADAS\D016 DRAXON.pdf</t>
  </si>
  <si>
    <t>FLUIDMASTER</t>
  </si>
  <si>
    <t xml:space="preserve">14 de Abril de 2026 </t>
  </si>
  <si>
    <t>Cruz Moreno Damaris Estefania</t>
  </si>
  <si>
    <t>Analista de reclutamiento y selección</t>
  </si>
  <si>
    <t>dcruz@fluidmaster.com</t>
  </si>
  <si>
    <t xml:space="preserve">Ortiz Lozano Alejandro Carlos </t>
  </si>
  <si>
    <t>aortiz@fluidmaster.com</t>
  </si>
  <si>
    <t>FIRMAS AUTORIZADAS\F004 FLUIDMASTER.pdf</t>
  </si>
  <si>
    <t xml:space="preserve">25 de marzo de 2026 </t>
  </si>
  <si>
    <t xml:space="preserve">Mora Garza Norma Leticia </t>
  </si>
  <si>
    <t xml:space="preserve">Davila Robledo Alma </t>
  </si>
  <si>
    <t>Coordinador recursos humanos</t>
  </si>
  <si>
    <t>alma.davila@fultra.mx</t>
  </si>
  <si>
    <t>norma.mora@fultra.mx</t>
  </si>
  <si>
    <t>FIRMAS AUTORIZADAS\F005 FULTURA.pdf</t>
  </si>
  <si>
    <t>GARZA GALVAN &amp; ASOCIADOS</t>
  </si>
  <si>
    <t xml:space="preserve">Torres Machorro Luis Alexis </t>
  </si>
  <si>
    <t>Contador publico general</t>
  </si>
  <si>
    <t>luis.s.torres.m@hotmail.com</t>
  </si>
  <si>
    <t>FIRMAS AUTORIZADAS\G005 GARZA GALVAN &amp; ASOCIADOS.pdf</t>
  </si>
  <si>
    <t>GRUPO CHAVANA</t>
  </si>
  <si>
    <t>Almaguer Solis Alma Yuliana</t>
  </si>
  <si>
    <t>administracion@grupocharana.xom.mx</t>
  </si>
  <si>
    <t xml:space="preserve">Burgos Mata Erika </t>
  </si>
  <si>
    <t>contabilidad1@grupochavana.com.mx</t>
  </si>
  <si>
    <t>Hernandez Hernandez Dolores</t>
  </si>
  <si>
    <t>Coordinador de trafico</t>
  </si>
  <si>
    <t>rhoperacion@grupochava.com.mx</t>
  </si>
  <si>
    <t>FIRMAS AUTORIZADAS\G006 GRUPO CHAVANA.pdf</t>
  </si>
  <si>
    <t>Akzent</t>
  </si>
  <si>
    <t>Velezmoro Ojeda Rodolfo Manuel</t>
  </si>
  <si>
    <t>rodolfovelezmoro@akzent.mx</t>
  </si>
  <si>
    <t>Gutierrez Salazar Alma Cristina</t>
  </si>
  <si>
    <t>Manzano Ortiz Ana Lucia</t>
  </si>
  <si>
    <t xml:space="preserve">Diaz Ruiz Myriam Anahi </t>
  </si>
  <si>
    <t>Alcocer Torres Brenda</t>
  </si>
  <si>
    <t xml:space="preserve">Gerente Contabilidad </t>
  </si>
  <si>
    <t>balcocer@hlbalerex</t>
  </si>
  <si>
    <t>mdiaz@hlbalerex.com</t>
  </si>
  <si>
    <t>almanzano@hlbalerex.com</t>
  </si>
  <si>
    <t>FIRMAS AUTORIZADAS\A016 Alerex Servicios S.A. de C.V..pdf</t>
  </si>
  <si>
    <t>FIRMAS AUTORIZADAS\A015 Akzent.pdf</t>
  </si>
  <si>
    <t>American Axle Novocast</t>
  </si>
  <si>
    <t>Careaga Hector</t>
  </si>
  <si>
    <t>Coordinador de desarrollo humano</t>
  </si>
  <si>
    <t>Salazar Martinez Gabriela</t>
  </si>
  <si>
    <t>Analista de Recutamiento y Selección</t>
  </si>
  <si>
    <t>gabriela.saqlazar@aaqm.com</t>
  </si>
  <si>
    <t>FIRMAS AUTORIZADAS\A017 American Axle Novocast.pdf</t>
  </si>
  <si>
    <t>ASESORIA CONTABLE FISCAL GENESIS SA DE CV</t>
  </si>
  <si>
    <t>Castillo Carrillo Raul</t>
  </si>
  <si>
    <t>Contador General</t>
  </si>
  <si>
    <t>acf.genesis@gmail.com</t>
  </si>
  <si>
    <t>FIRMAS AUTORIZADAS\A018 ASESORIA CONTABLE FISCAL GENESIS SA DE CV.pdf</t>
  </si>
  <si>
    <t>CENTRO DE INVESTIGACIÓN EN PRODUCCIÓN AGROPECUARIA UANL</t>
  </si>
  <si>
    <t xml:space="preserve">Manzarares Miranda Nelson </t>
  </si>
  <si>
    <t>Treviño Garza Valeria Alejandra</t>
  </si>
  <si>
    <t>Responsable de servicio social y practicas profesionales</t>
  </si>
  <si>
    <t>8183294000 Ext 3526</t>
  </si>
  <si>
    <t>valeria.trevinog@uanl.mx</t>
  </si>
  <si>
    <t>FIRMAS AUTORIZADAS\C023 CENTRO DE INVESTIGACIÓN EN PRODUCCIÓN AGROPECUARIA UANL.pdf</t>
  </si>
  <si>
    <t>CIA Sherwin Willimas</t>
  </si>
  <si>
    <t xml:space="preserve">Jamarillo Reyes Johana Jrai </t>
  </si>
  <si>
    <t>Coordinador de RH</t>
  </si>
  <si>
    <t>johana.i.jaramillo@valspar.com</t>
  </si>
  <si>
    <t>FIRMAS AUTORIZADAS\C024 CIA Sherwin Willimas.pdf</t>
  </si>
  <si>
    <t>Citrofrut</t>
  </si>
  <si>
    <t>Centella Sanchez Cassandra</t>
  </si>
  <si>
    <t>Responsable Talento y Cultura Zano</t>
  </si>
  <si>
    <t>cassandra.centella@citrofrut.com</t>
  </si>
  <si>
    <t>Ordoñez Martinez Gustavo Adrian</t>
  </si>
  <si>
    <t>Facilitador de Talento y cultura</t>
  </si>
  <si>
    <t>gordonez@citrofrut.com</t>
  </si>
  <si>
    <t xml:space="preserve">Cabriales Morua Shaery Astrith </t>
  </si>
  <si>
    <t>Facilitador Nominas</t>
  </si>
  <si>
    <t>shaery.cabriales@citrofrut.com</t>
  </si>
  <si>
    <t>FIRMAS AUTORIZADAS\C025 Citrofrut.pdf</t>
  </si>
  <si>
    <t>Jefe de Reclutamiento y seleccion</t>
  </si>
  <si>
    <t>yaresi.mata@coparmex.com</t>
  </si>
  <si>
    <t>FIRMAS AUTORIZADAS\C026 COPAMEX INDUSTRIAS SA DE CV.pdf</t>
  </si>
  <si>
    <t>ACTUALIZACION ABRIL</t>
  </si>
  <si>
    <t>CONTAXX</t>
  </si>
  <si>
    <t>Hernandez Hernandez Francisco Abel</t>
  </si>
  <si>
    <t>ahernandez@conttax.com.mx</t>
  </si>
  <si>
    <t>FIRMAS AUTORIZADAS\C027 COTAXX</t>
  </si>
  <si>
    <t>CYMM</t>
  </si>
  <si>
    <t>Varela Ochoa Reyna Alejandra</t>
  </si>
  <si>
    <t>Gerente Talento Humano</t>
  </si>
  <si>
    <t>rvarela@cymm.com</t>
  </si>
  <si>
    <t>Medina Lara Carlos Azael</t>
  </si>
  <si>
    <t>Asistente Direccion</t>
  </si>
  <si>
    <t>amedina@cymm.com</t>
  </si>
  <si>
    <t>FIRMAS AUTORIZADAS\C028 CYMM.pdf</t>
  </si>
  <si>
    <t>DIRECCION DE EDUCACION DIGITAL</t>
  </si>
  <si>
    <t>Garcia Waldman David Horacio</t>
  </si>
  <si>
    <t>Director de Educacion digital</t>
  </si>
  <si>
    <t>8183294140 Ext 4147</t>
  </si>
  <si>
    <t>david.garciaw@uanl.mx</t>
  </si>
  <si>
    <t>Martinez Esquivel Leticia Elizabeth</t>
  </si>
  <si>
    <t>Responsable de RH y Administracion</t>
  </si>
  <si>
    <t>8183294140 Ext 6652</t>
  </si>
  <si>
    <t xml:space="preserve">leticia.martinez@uanl.mx </t>
  </si>
  <si>
    <t xml:space="preserve">Chavira Treviño Perla Nataly </t>
  </si>
  <si>
    <t>Coordinadora de Gestion de proyectos</t>
  </si>
  <si>
    <t>8183294140 Ext 6650</t>
  </si>
  <si>
    <t>DON DESPENSA SA DE CV</t>
  </si>
  <si>
    <t xml:space="preserve">Garcia Valdez Jose Diego </t>
  </si>
  <si>
    <t xml:space="preserve">Administrativo de RH </t>
  </si>
  <si>
    <t>diegogava92@hotmail.com</t>
  </si>
  <si>
    <t>FIRMAS AUTORIZADAS\D018 DON DESPENSA SA DE CV.pdf</t>
  </si>
  <si>
    <t>Rivera Resendiz Maria Fernanda</t>
  </si>
  <si>
    <t>Gererente de Talento y Cultura</t>
  </si>
  <si>
    <t>maria.rivera@grupoennea.com</t>
  </si>
  <si>
    <t>Garza Guevara Eugenia</t>
  </si>
  <si>
    <t>Practicante de Talento y Cultura</t>
  </si>
  <si>
    <t>eugenia.garza@grupoennea.com</t>
  </si>
  <si>
    <t>Villareal Vera Maria Cecilia</t>
  </si>
  <si>
    <t>Especialista Fiscal</t>
  </si>
  <si>
    <t>maria.villarreal@grupoennea.com</t>
  </si>
  <si>
    <t>FIRMAS AUTORIZADAS\E003 ENNEA.pdf</t>
  </si>
  <si>
    <t>EMPIRE NATIONAL INC</t>
  </si>
  <si>
    <t>Ibarra Montoya Hernan</t>
  </si>
  <si>
    <t>Gerente RRHH</t>
  </si>
  <si>
    <t>hernanib@empirenaqtional.com</t>
  </si>
  <si>
    <t xml:space="preserve">Villa Padilla Octavio Alejandro </t>
  </si>
  <si>
    <t>Lider equipo comercial ssu</t>
  </si>
  <si>
    <t>18121292186 Ext 332</t>
  </si>
  <si>
    <t>Octaviovi@empirenational.com</t>
  </si>
  <si>
    <t>FIRMAS AUTORIZADAS\E004 EMPIRE NATIONAL INC.pdf</t>
  </si>
  <si>
    <t>EXPERTOS EN NEGOCIOS IUS SA DE CV</t>
  </si>
  <si>
    <t xml:space="preserve">Gallegos Cherreti Gissel Anahi </t>
  </si>
  <si>
    <t>Director de Recursos Humanos</t>
  </si>
  <si>
    <t>gissel.gallegos@alterax.com.mx</t>
  </si>
  <si>
    <t xml:space="preserve">Granados Durand David </t>
  </si>
  <si>
    <t>Director de operaciones</t>
  </si>
  <si>
    <t>david.granados@alterax.com.mx</t>
  </si>
  <si>
    <t xml:space="preserve">Castaño Hernandez Carlos Alberto </t>
  </si>
  <si>
    <t>Director Comercial</t>
  </si>
  <si>
    <t>ccastano@alterax.com.mx</t>
  </si>
  <si>
    <t>FIRMAS AUTORIZADAS\E005 EXPERTOS EN NEGOCIOS IUS SA DE CV.pdf</t>
  </si>
  <si>
    <t>Industrias Tuk</t>
  </si>
  <si>
    <t xml:space="preserve">Russer Heb Edna </t>
  </si>
  <si>
    <t>Barbosa Reyes Laura Patricia</t>
  </si>
  <si>
    <t>Analista de incorporacion de talento</t>
  </si>
  <si>
    <t>Ibarbosa@tuk.com.mx</t>
  </si>
  <si>
    <t>FIRMAS AUTORIZADAS\I005 Industrias Tuk.pdf</t>
  </si>
  <si>
    <t>INTERNATIONAL BEARINGS SERVICE</t>
  </si>
  <si>
    <t>Cortinas Favela Veronica</t>
  </si>
  <si>
    <t>Veronica@balerosibs.com</t>
  </si>
  <si>
    <t>FIRMAS AUTORIZADAS\I006 INTERNATIONAL BEARINGS SERVICE.pdf</t>
  </si>
  <si>
    <t>International Motors</t>
  </si>
  <si>
    <t xml:space="preserve">Nedvedovch Cohen Daniel </t>
  </si>
  <si>
    <t>Gerente de P&amp;C</t>
  </si>
  <si>
    <t xml:space="preserve">Rodriguez Salinas Luz del carmen </t>
  </si>
  <si>
    <t>Especialista de reclutamiento</t>
  </si>
  <si>
    <t>luz.rodriguez@international.com</t>
  </si>
  <si>
    <t>Samaniego Aleman Erika Maribel</t>
  </si>
  <si>
    <t xml:space="preserve">Especialista sr operaciones p&amp;c </t>
  </si>
  <si>
    <t>erika.samaniego@international.com</t>
  </si>
  <si>
    <t>Herrera Torres Adriana Cecilia</t>
  </si>
  <si>
    <t xml:space="preserve">Practicante P&amp;C </t>
  </si>
  <si>
    <t>adriana.herrera@international.com</t>
  </si>
  <si>
    <t>FIRMAS AUTORIZADAS\I007 International Motors.pdf</t>
  </si>
  <si>
    <t>ISSSTELEON</t>
  </si>
  <si>
    <t>Garcia Reyna Gabriela</t>
  </si>
  <si>
    <t>Directora de desarrollo Humano</t>
  </si>
  <si>
    <t>8120339000 Ext 9436</t>
  </si>
  <si>
    <t>gabriela.garciar@isssteleon.gob.mx</t>
  </si>
  <si>
    <t>n/A</t>
  </si>
  <si>
    <t xml:space="preserve">Flores Rosas Jorge Luis </t>
  </si>
  <si>
    <t>Coordinador de Desarrollo Humano</t>
  </si>
  <si>
    <t xml:space="preserve">812033900 Ext 9437 </t>
  </si>
  <si>
    <t>jorge.flores@isssteleon.gob.mx</t>
  </si>
  <si>
    <t>FIRMAS AUTORIZADAS\I008 ISSSTELEON.pdf</t>
  </si>
  <si>
    <t>IZAC GARCIA. Asesoria Fiscal</t>
  </si>
  <si>
    <t>Garcia Jaramillo jaime</t>
  </si>
  <si>
    <t xml:space="preserve">director de rh </t>
  </si>
  <si>
    <t>jaimejaramillo@izacgarcia.com.mx</t>
  </si>
  <si>
    <t>FIRMAS AUTORIZADAS\I009 IZAC GARCIA. Asesoria Fiscal.pdf</t>
  </si>
  <si>
    <t>JESUS ENRIQUE CHAVEZ DURAN-despacho</t>
  </si>
  <si>
    <t xml:space="preserve">Chaveza Duran Jesus Enrique </t>
  </si>
  <si>
    <t>FIRMAS AUTORIZADAS\J001 JESUS ENRIQUE CHAVEZ DURAN-despacho.pdf</t>
  </si>
  <si>
    <t>Castle Metals</t>
  </si>
  <si>
    <t xml:space="preserve">22 de Abril de 2026 </t>
  </si>
  <si>
    <t>Mendieta Perez Isaac</t>
  </si>
  <si>
    <t>Controller</t>
  </si>
  <si>
    <t>imendieta@amcastle.com</t>
  </si>
  <si>
    <t>Hernandez Verastegui Maria del Rosario</t>
  </si>
  <si>
    <t xml:space="preserve">Treasury y coor rh </t>
  </si>
  <si>
    <t xml:space="preserve">Navarro Camarena Miguel Fernando Navarro  </t>
  </si>
  <si>
    <t xml:space="preserve">Supply Chain Mgr </t>
  </si>
  <si>
    <t>mnavarro@amcastle.com</t>
  </si>
  <si>
    <t>FIRMAS AUTORIZADAS\C029 Castle Metals.pdf</t>
  </si>
  <si>
    <t>Cabriales Flores Keyla Chantal</t>
  </si>
  <si>
    <t>brisa.martinez@crowncork.com.mx</t>
  </si>
  <si>
    <t>Tejeda Mendoza Keila Immer</t>
  </si>
  <si>
    <t xml:space="preserve">Analista Nominas </t>
  </si>
  <si>
    <t>keila.tejeda@crowncork.com.mx</t>
  </si>
  <si>
    <t>Martinez Llerenas Brisa Adanesno</t>
  </si>
  <si>
    <t>rhernandez@amcastle.com</t>
  </si>
  <si>
    <t xml:space="preserve">Coordinador rh </t>
  </si>
  <si>
    <t>Brisa.martinez@crowcork.com.mx</t>
  </si>
  <si>
    <t>FIRMAS AUTORIZADAS\C030 CROWN MEXICO.pdf</t>
  </si>
  <si>
    <t>MONFROY GROUP</t>
  </si>
  <si>
    <t>MAGNA-Magna Mirror Systems Monterrey</t>
  </si>
  <si>
    <t xml:space="preserve">Hernandez Amaro Erendida </t>
  </si>
  <si>
    <t xml:space="preserve">Gerente de rh </t>
  </si>
  <si>
    <t xml:space="preserve">Gutierrez Lopez Saul </t>
  </si>
  <si>
    <t>Coordinador de impuestos</t>
  </si>
  <si>
    <t>saul.gutierrez1@magna.com</t>
  </si>
  <si>
    <t>Ramos Hernandez Maria de Pilar</t>
  </si>
  <si>
    <t>Supervisora de impuestos y nominas</t>
  </si>
  <si>
    <t>pilar.ramos@magna.com</t>
  </si>
  <si>
    <t>Garcia Nancy</t>
  </si>
  <si>
    <t xml:space="preserve">Coordinadora de RH y reclutamiento  </t>
  </si>
  <si>
    <t>nancy.garcia@magna.com</t>
  </si>
  <si>
    <t>FIRMAS AUTORIZADAS\M004 MAGNA-Magna Mirror Systems Monterrey.pdf</t>
  </si>
  <si>
    <t>MAQRO</t>
  </si>
  <si>
    <t>Garcia Monzon Jose Antonio</t>
  </si>
  <si>
    <t>Jefe de RH y nominas</t>
  </si>
  <si>
    <t>agarcia@maqro.com.mx</t>
  </si>
  <si>
    <t>FIRMAS AUTORIZADAS\M005 MAQRO.pdf</t>
  </si>
  <si>
    <t>METALSA</t>
  </si>
  <si>
    <t>Cepeda Rodriguez Miguel Angel</t>
  </si>
  <si>
    <t xml:space="preserve">Especialista en atraccion de talento </t>
  </si>
  <si>
    <t>miguel.cepeda@metalsa.com</t>
  </si>
  <si>
    <t xml:space="preserve">Garcia Barcenas Cassandra </t>
  </si>
  <si>
    <t xml:space="preserve">Coord de adquiquisicvion de talento multisitio </t>
  </si>
  <si>
    <t>cassandra.garcia@metalsa.com</t>
  </si>
  <si>
    <t>FIRMAS AUTORIZADAS\M006 METALSA.pdf</t>
  </si>
  <si>
    <t>MIDEA</t>
  </si>
  <si>
    <t xml:space="preserve">Montoya Camacho Eddy </t>
  </si>
  <si>
    <t xml:space="preserve">Gerente RH </t>
  </si>
  <si>
    <t>eddy.montoya@midea.com</t>
  </si>
  <si>
    <t>FIRMAS AUTORIZADAS\M007 MIDEA.pdf</t>
  </si>
  <si>
    <t>MOLIENDAS &amp; ALIMENTOS</t>
  </si>
  <si>
    <t xml:space="preserve">Rodriguez Alberto Joel </t>
  </si>
  <si>
    <t>j.rodriguez@moliendas.com</t>
  </si>
  <si>
    <t>Alvarez Gallegos Griselda</t>
  </si>
  <si>
    <t>Tesoreria cotabilidad</t>
  </si>
  <si>
    <t>contabilidad@moliendos.com</t>
  </si>
  <si>
    <t xml:space="preserve">Escobedo Matamoros Yarexy </t>
  </si>
  <si>
    <t xml:space="preserve">Contabilidad </t>
  </si>
  <si>
    <t xml:space="preserve">auxiliarcontable2@moliendas.com </t>
  </si>
  <si>
    <t>FIRMAS AUTORIZADAS\M008 MOLIENDAS &amp; ALIMENTOS.pdf</t>
  </si>
  <si>
    <t>llona Perez Hilda Adriana</t>
  </si>
  <si>
    <t>n /a</t>
  </si>
  <si>
    <t xml:space="preserve">Nuncio Medina Cristhian </t>
  </si>
  <si>
    <t xml:space="preserve">Generalista de rh </t>
  </si>
  <si>
    <t>cristhian.nunclo@mondigroup.com</t>
  </si>
  <si>
    <t xml:space="preserve">Carreon Rios Hector Guillermo </t>
  </si>
  <si>
    <t>Coordinador de comercio exterior</t>
  </si>
  <si>
    <t>hector.carreon@mandigroup.com</t>
  </si>
  <si>
    <t>FIRMAS AUTORIZADAS\M009 MONDI MEXICO SRL DE CV.pdf</t>
  </si>
  <si>
    <t>Mora y Vázquez</t>
  </si>
  <si>
    <t xml:space="preserve">Covarrubias Enrique </t>
  </si>
  <si>
    <t xml:space="preserve">Tovar Herrera Nereida </t>
  </si>
  <si>
    <t>n.tovar@m-v.mx</t>
  </si>
  <si>
    <t>Hernandez Hernandez Liliana</t>
  </si>
  <si>
    <t xml:space="preserve">Supervisora </t>
  </si>
  <si>
    <t>l.herhandez@m-v.mx</t>
  </si>
  <si>
    <t>FIRMAS AUTORIZADAS\M010 Mora y Vázquez.pdf</t>
  </si>
  <si>
    <t>Municipio de General Escobedo</t>
  </si>
  <si>
    <t xml:space="preserve">Amezquita Puentes Martha Celia </t>
  </si>
  <si>
    <t xml:space="preserve">Directora de RH </t>
  </si>
  <si>
    <t>8182206100 Ext 2040</t>
  </si>
  <si>
    <t>recursos.humanos@escobedo.gob.mx</t>
  </si>
  <si>
    <t>MUNICIPIO DE SANTIAGO NUEVO LEON</t>
  </si>
  <si>
    <t xml:space="preserve">Contreras Mosivais Jose Gerardo </t>
  </si>
  <si>
    <t xml:space="preserve">Secretario de Adm </t>
  </si>
  <si>
    <t>secretariaadministrativa@santiago.gob.mx</t>
  </si>
  <si>
    <t>Jaramillo Cepeda Mariana Dinora</t>
  </si>
  <si>
    <t xml:space="preserve">maria.jaramillo@santiago.gob.mx </t>
  </si>
  <si>
    <t>FIRMAS AUTORIZADAS\M012 MUNICIPIO DE SANTIAGO NUEVO LEON.pdf</t>
  </si>
  <si>
    <t>FIRMAS AUTORIZADAS\M011 Municipio de General Escobedo.pdf</t>
  </si>
  <si>
    <t>ODESSA</t>
  </si>
  <si>
    <t xml:space="preserve">23 de Abril de 2026 </t>
  </si>
  <si>
    <t>Turrubiates Grijalva Carlos</t>
  </si>
  <si>
    <t xml:space="preserve">Gerente sr de legal </t>
  </si>
  <si>
    <t xml:space="preserve">Valle Almaguer Geovana Lizzet </t>
  </si>
  <si>
    <t xml:space="preserve">Coordinador de servicios internos </t>
  </si>
  <si>
    <t>gvalleqodessa.com.mx</t>
  </si>
  <si>
    <t>Aguirre Rodriguez Patricia</t>
  </si>
  <si>
    <t xml:space="preserve">Gerente sr de RH </t>
  </si>
  <si>
    <t>paguirre@odessa.com.mx</t>
  </si>
  <si>
    <t xml:space="preserve">Mendez Muñiz Edna Carolina </t>
  </si>
  <si>
    <t xml:space="preserve">Coordinador de RH </t>
  </si>
  <si>
    <t>emendez@odessa.com.mx</t>
  </si>
  <si>
    <t>FIRMAS AUTORIZADAS\O001 ODESSA.pdf</t>
  </si>
  <si>
    <t xml:space="preserve">Delgado Diaz Jose Luz </t>
  </si>
  <si>
    <t xml:space="preserve">Jefe de Practicas </t>
  </si>
  <si>
    <t>ventas4@ofichap.com</t>
  </si>
  <si>
    <t>FIRMAS AUTORIZADAS\O002 OFICHAP.pdf</t>
  </si>
  <si>
    <t xml:space="preserve">Torres Lara Armando Guadalupe </t>
  </si>
  <si>
    <t>contador01@olfmexico.com</t>
  </si>
  <si>
    <t>FIRMAS AUTORIZADAS\O003 OLF Asesores.pdf</t>
  </si>
  <si>
    <t>SanBarr Grupo</t>
  </si>
  <si>
    <t xml:space="preserve">Garza de la Maza Alejandro </t>
  </si>
  <si>
    <t xml:space="preserve">Director de operaciones </t>
  </si>
  <si>
    <t>Ramos Castillo Liliana Abigail</t>
  </si>
  <si>
    <t xml:space="preserve">Supervisora de Nominas </t>
  </si>
  <si>
    <t>iramos@gsanbarr.mx</t>
  </si>
  <si>
    <t xml:space="preserve">Arredondo Salazar Vania Rubi </t>
  </si>
  <si>
    <t xml:space="preserve">Supervisora de Reclutamiento </t>
  </si>
  <si>
    <t>reclutamientogsb2@gsanbarr.mx</t>
  </si>
  <si>
    <t>Rodriguez de la Rosa Melanie Montserrat</t>
  </si>
  <si>
    <t>Reclutadora</t>
  </si>
  <si>
    <t>reclutamientogsb@gsanbarr.mx</t>
  </si>
  <si>
    <t>FIRMAS AUTORIZADAS\S008 SanBarr Grupo.pdf</t>
  </si>
  <si>
    <t>SCISA</t>
  </si>
  <si>
    <t xml:space="preserve">Lopez Avila Veronica Cristina </t>
  </si>
  <si>
    <t>Fernandez Almaguer Gabriela</t>
  </si>
  <si>
    <t>8183385880 Ext 101</t>
  </si>
  <si>
    <t>gabriela.fernandez@scisa.com.mx</t>
  </si>
  <si>
    <t>FIRMAS AUTORIZADAS\S009 SCISA.pdf</t>
  </si>
  <si>
    <t>Servicios de Agua y Drenaje Mty</t>
  </si>
  <si>
    <t xml:space="preserve">13 de Abril de 2026 </t>
  </si>
  <si>
    <t xml:space="preserve">Granados de Anda Carlos Emilio </t>
  </si>
  <si>
    <t xml:space="preserve">Jefe de servicios de RRHH </t>
  </si>
  <si>
    <t>cgranados@sadm.gob.mx</t>
  </si>
  <si>
    <t>FIRMAS AUTORIZADAS\S010 Servicios de Agua y Drenaje Mty.pdf</t>
  </si>
  <si>
    <t>Servicios de Inspección en la Construcción SIC</t>
  </si>
  <si>
    <t xml:space="preserve">16 de Abril de 2026 </t>
  </si>
  <si>
    <t xml:space="preserve">Moya Rodriguez Osvaldo </t>
  </si>
  <si>
    <t>sic_moya@hotmail.com</t>
  </si>
  <si>
    <t xml:space="preserve">Moya Sosa Abraham </t>
  </si>
  <si>
    <t xml:space="preserve">Encargado de Gestion de calidad </t>
  </si>
  <si>
    <t>sic_0404@outlook.com</t>
  </si>
  <si>
    <t>FIRMAS AUTORIZADAS\S011 Servicios de Inspección en la Construcción SIC.pdf</t>
  </si>
  <si>
    <t>SISTEMAS AUTOMOTRICES DE MEXICO</t>
  </si>
  <si>
    <t xml:space="preserve">27 de Marzo de 2026 </t>
  </si>
  <si>
    <t xml:space="preserve">Ramirez Reyes Liliana Elizabeth </t>
  </si>
  <si>
    <t>liliana.ramirez@sisamex.com.mx</t>
  </si>
  <si>
    <t xml:space="preserve">Garcia Morales Aime Cecilia </t>
  </si>
  <si>
    <t>aime.garza@sisamex.com.mx</t>
  </si>
  <si>
    <t xml:space="preserve">Gracida del Rio Azucena bestsabée </t>
  </si>
  <si>
    <t xml:space="preserve">Gerente de desarrollo organizacional </t>
  </si>
  <si>
    <t>azucena.gracida@sisamex.com.mx</t>
  </si>
  <si>
    <t>FIRMAS AUTORIZADAS\S012 SISTEMAS AUTOMOTRICES DE MEXICO.pdf</t>
  </si>
  <si>
    <t>TALENTO LOGISTICO- TEACHNNOVA</t>
  </si>
  <si>
    <t xml:space="preserve">Castillo Rodolfo </t>
  </si>
  <si>
    <t>Director RRHH</t>
  </si>
  <si>
    <t>Juarez Ramirez Javier Israel</t>
  </si>
  <si>
    <t xml:space="preserve">Coordinador de capacitacion </t>
  </si>
  <si>
    <t>israeljuarez@talentologistico.com</t>
  </si>
  <si>
    <t>FIRMAS AUTORIZADAS\T006 TALENTO LOGISTICO- TEACHNNOVA.pdf</t>
  </si>
  <si>
    <t>TALISIS</t>
  </si>
  <si>
    <t>Sauceda Segovia Hector</t>
  </si>
  <si>
    <t>Coordinador de atraccion de talento</t>
  </si>
  <si>
    <t>hector.sauceda@talisis.com</t>
  </si>
  <si>
    <t>Banda Ramirez Daniel Eli</t>
  </si>
  <si>
    <t>Gerente de operaciones admi</t>
  </si>
  <si>
    <t>daniel.banda@talisis.com</t>
  </si>
  <si>
    <t>FIRMAS AUTORIZADAS\T007 TALISIS.pdf</t>
  </si>
  <si>
    <t xml:space="preserve">Fimenez de la Cruz Edgar </t>
  </si>
  <si>
    <t xml:space="preserve">HRPB Manager </t>
  </si>
  <si>
    <t>edgar.jimenez@tecpetrol.com</t>
  </si>
  <si>
    <t xml:space="preserve">Badillo Garcia Mihuel Ogivert </t>
  </si>
  <si>
    <t xml:space="preserve">accounting manager </t>
  </si>
  <si>
    <t>miguel.badillo@techgen.mx</t>
  </si>
  <si>
    <t>FIRMAS AUTORIZADAS\T008 Techgen.pdf</t>
  </si>
  <si>
    <t>TEKNIPLEX</t>
  </si>
  <si>
    <t xml:space="preserve">Cortinez Rodriguez Felipe de Jesus </t>
  </si>
  <si>
    <t>8181312500 Ext 2534</t>
  </si>
  <si>
    <t>felipe.cortez@tekni-plex.com</t>
  </si>
  <si>
    <t>TEREX GENIE</t>
  </si>
  <si>
    <t xml:space="preserve">Saucedo Estrada Ivonne Elizabeth </t>
  </si>
  <si>
    <t xml:space="preserve">Mata Ramirez Karla Victoria </t>
  </si>
  <si>
    <t xml:space="preserve">Analista de RH </t>
  </si>
  <si>
    <t>FIRMAS AUTORIZADAS\T010 TEREX GENIE.pdf</t>
  </si>
  <si>
    <t>TOYOTA</t>
  </si>
  <si>
    <t xml:space="preserve">27 de Abril de 2026 </t>
  </si>
  <si>
    <t xml:space="preserve">Carranza Norely </t>
  </si>
  <si>
    <t>norely.carranza@lexusmonterrey.mx</t>
  </si>
  <si>
    <t xml:space="preserve">Pedraza Barcenas Diego </t>
  </si>
  <si>
    <t>reclutamiento y selección</t>
  </si>
  <si>
    <t>diego.barcenas@yotainnova.com.mx</t>
  </si>
  <si>
    <t>FIRMAS AUTORIZADAS\T010 TOYOTA.pdf</t>
  </si>
  <si>
    <t>TRAUST</t>
  </si>
  <si>
    <t xml:space="preserve">Villarreal Olvera Rocio Aracely </t>
  </si>
  <si>
    <t xml:space="preserve">Coordinadora de reclutamiento y selección </t>
  </si>
  <si>
    <t xml:space="preserve">Gerente de RH </t>
  </si>
  <si>
    <t>rvillareal@traust.mx</t>
  </si>
  <si>
    <t xml:space="preserve">Perez Aguayo Karla Karyme </t>
  </si>
  <si>
    <t>kperez@traust.mc</t>
  </si>
  <si>
    <t>FIRMAS AUTORIZADAS\T011 TRAUST.pdf</t>
  </si>
  <si>
    <t>Valladares Contadores</t>
  </si>
  <si>
    <t xml:space="preserve">17 de Marzo de 2026 </t>
  </si>
  <si>
    <t>Valladares Ponce Jesus Eliud</t>
  </si>
  <si>
    <t>Representante legal</t>
  </si>
  <si>
    <t>eliu@qvalladarescontadores.com</t>
  </si>
  <si>
    <t>FIRMAS AUTORIZADAS\V003 Valladares Contadores.pdf</t>
  </si>
  <si>
    <t>VARGAS VALDES &amp; ASOCIADOS</t>
  </si>
  <si>
    <t xml:space="preserve">Gerente </t>
  </si>
  <si>
    <t>FIRMAS AUTORIZADAS\V004 VARGAS VALDES &amp; ASOCIADOS.pdf</t>
  </si>
  <si>
    <t>VIAKABLE</t>
  </si>
  <si>
    <t xml:space="preserve">Muñiz Breton Kevin Alberto </t>
  </si>
  <si>
    <t>Coordinador de AT y Practicantes</t>
  </si>
  <si>
    <t>kevinalberto.muniz@viakable.com</t>
  </si>
  <si>
    <t xml:space="preserve">Elizondo Rivera Ingrid Yareidi </t>
  </si>
  <si>
    <t>Coordinadora de atraccion de talento</t>
  </si>
  <si>
    <t>ingridyareidi.eizondo@viakable.com</t>
  </si>
  <si>
    <t xml:space="preserve">Muñoz Tamez Ana fernanda </t>
  </si>
  <si>
    <t>Analista de atraccion de talento</t>
  </si>
  <si>
    <t>anafernanda.munoz@viakable.com</t>
  </si>
  <si>
    <t>FIRMAS AUTORIZADAS\V005 VIAKABLE.pdf</t>
  </si>
  <si>
    <t>VIDUSA</t>
  </si>
  <si>
    <t xml:space="preserve">Echavarria Lopez Emmanuel </t>
  </si>
  <si>
    <t xml:space="preserve">Gerente de desarrollo humano </t>
  </si>
  <si>
    <t>emmanuel.echavarria@vidusa.com</t>
  </si>
  <si>
    <t>FIRMAS AUTORIZADAS\V006 VIDUSA.pdf</t>
  </si>
  <si>
    <t>VILLEGAS DE LEON Y ASOCIADOS SC</t>
  </si>
  <si>
    <t xml:space="preserve">25 de febrero de 2026 </t>
  </si>
  <si>
    <t xml:space="preserve">Padilla Reyes Hugo Enrique </t>
  </si>
  <si>
    <t>hugolpadilla@gmail.com</t>
  </si>
  <si>
    <t>Villegas de leon Oscar Ruben</t>
  </si>
  <si>
    <t>villegasdeleon@prodigy.net.mx</t>
  </si>
  <si>
    <t>Martinez Zuñiga Alejandro</t>
  </si>
  <si>
    <t>amzymevc@hotmail.com</t>
  </si>
  <si>
    <t>FIRMAS AUTORIZADAS\V007 VILLEGAS DE LEON Y ASOCIADOS SC.pdf</t>
  </si>
  <si>
    <t>VINNARE</t>
  </si>
  <si>
    <t>Esparza Vazquez Esther del Rocio</t>
  </si>
  <si>
    <t>rh@blpgroup.com.mx</t>
  </si>
  <si>
    <t>Mendoza Sanchez Ponce Raul Ignacio</t>
  </si>
  <si>
    <t>Director de Administracion</t>
  </si>
  <si>
    <t>rmendoza@blpgroup.com.mx</t>
  </si>
  <si>
    <t xml:space="preserve">Ostoa arista Eduardo </t>
  </si>
  <si>
    <t>Gerente de contabilidad</t>
  </si>
  <si>
    <t>contabilidadsenior@blpgroup.com.-mx</t>
  </si>
  <si>
    <t>FIRMAS AUTORIZADAS\V008 VINNARE.pdf</t>
  </si>
  <si>
    <t>TRUMPF MEXICO</t>
  </si>
  <si>
    <t>Rivera Mena Damian</t>
  </si>
  <si>
    <t xml:space="preserve">HR student tmx mt </t>
  </si>
  <si>
    <t>damian.rivera@trumpf.com</t>
  </si>
  <si>
    <t>Ramirez Luya Marcelo</t>
  </si>
  <si>
    <t>HR Generalist tmx mt</t>
  </si>
  <si>
    <t>marcelo.ramirez@trumpt.com</t>
  </si>
  <si>
    <t xml:space="preserve">Valdes Sanchez Barbara Italivy </t>
  </si>
  <si>
    <t>Practicante servicio</t>
  </si>
  <si>
    <t>barbara.valdesnch@uanl.edu.mx</t>
  </si>
  <si>
    <t>FIRMAS AUTORIZADAS\T012 TRUMPF MEXICO.pdf</t>
  </si>
  <si>
    <t xml:space="preserve"> UKY-Embarques y Subministros SA y CV</t>
  </si>
  <si>
    <t xml:space="preserve">09 de Abril de 2026 </t>
  </si>
  <si>
    <t>Cardona Moreno Mayra Guadalupe</t>
  </si>
  <si>
    <t>administracion@ukyempaques.com</t>
  </si>
  <si>
    <t>FIRMAS AUTORIZADAS\U001 UKY-Embarques y Subministros SA y CV.pdf</t>
  </si>
  <si>
    <t>WESTERN TRUCK SERVICE</t>
  </si>
  <si>
    <t>Andrade Hernandez Renee</t>
  </si>
  <si>
    <t xml:space="preserve">Recursos humanos </t>
  </si>
  <si>
    <t>reneeandrade519@gmail.com</t>
  </si>
  <si>
    <t>FIRMAS AUTORIZADAS\W001 WESTERN TRUCK SERVICE.pdf</t>
  </si>
  <si>
    <t>Haldex</t>
  </si>
  <si>
    <t>Becerra Becerra Marcela</t>
  </si>
  <si>
    <t>Sr. Hr supervisor</t>
  </si>
  <si>
    <t>marcela.becerra@safholland.con</t>
  </si>
  <si>
    <t>Cuevas Cortez Alma Isela</t>
  </si>
  <si>
    <t>HR Generalist</t>
  </si>
  <si>
    <t>alma.cuevas@safholland.com</t>
  </si>
  <si>
    <t xml:space="preserve">Garcia Guzman Raul Gerardo </t>
  </si>
  <si>
    <t>Import-Export Manager</t>
  </si>
  <si>
    <t>Raul.garcia@safholland.com</t>
  </si>
  <si>
    <t>FIRMAS AUTORIZADAS\H005 Haldex.pdf</t>
  </si>
  <si>
    <t>Hospital Veterinario Dr. Serna</t>
  </si>
  <si>
    <t>Garza Salinas Gilberto Muricio</t>
  </si>
  <si>
    <t>Tinoco Chacon Lucila</t>
  </si>
  <si>
    <t>admon.hospvetdrserna@gmail.com</t>
  </si>
  <si>
    <t>Acosta Cervantes Ingrid Michelle</t>
  </si>
  <si>
    <t>Auxiliar administrativo</t>
  </si>
  <si>
    <t>facturacion.comergarza@gmail.com</t>
  </si>
  <si>
    <t>Alerex Servicios S.A. de C.V.</t>
  </si>
  <si>
    <t>AVANTE</t>
  </si>
  <si>
    <t>ALANIS AMARO Y ASOCIADOS</t>
  </si>
  <si>
    <t>CEMEX</t>
  </si>
  <si>
    <t>CROWN MEXICO</t>
  </si>
  <si>
    <t>ENNEA</t>
  </si>
  <si>
    <t>Financiería MEXI</t>
  </si>
  <si>
    <t>IMPULSO COMERCIAL INTERNACIONAL</t>
  </si>
  <si>
    <t>ICUMEDICAL</t>
  </si>
  <si>
    <t>INFONAVIT</t>
  </si>
  <si>
    <t>MONDI MEXICO SRL DE CV</t>
  </si>
  <si>
    <t>Nangman Logistics</t>
  </si>
  <si>
    <t>OFICHAP</t>
  </si>
  <si>
    <t>OLF Asesores</t>
  </si>
  <si>
    <t>STIVA</t>
  </si>
  <si>
    <t>SISAMEX</t>
  </si>
  <si>
    <t>Techgen</t>
  </si>
  <si>
    <t>VITRO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</si>
  <si>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</si>
  <si>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</si>
  <si>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</si>
  <si>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</si>
  <si>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</si>
  <si>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</si>
  <si>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</si>
  <si>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</si>
  <si>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</si>
  <si>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</si>
  <si>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</si>
  <si>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</si>
  <si>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</si>
  <si>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</si>
  <si>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</si>
  <si>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</si>
  <si>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</si>
  <si>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</si>
  <si>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</si>
  <si>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</si>
  <si>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</si>
  <si>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</si>
  <si>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</si>
  <si>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X</t>
  </si>
  <si>
    <t>Y</t>
  </si>
  <si>
    <t>Z</t>
  </si>
  <si>
    <t>W</t>
  </si>
  <si>
    <t>EMPRESAS</t>
  </si>
  <si>
    <t>INDICE</t>
  </si>
  <si>
    <t>TOTAL EMPRESAS</t>
  </si>
  <si>
    <t>RFC</t>
  </si>
  <si>
    <t>AMH190528868</t>
  </si>
  <si>
    <t>ATM9810292A0</t>
  </si>
  <si>
    <t>FIRMAS AUTORIZADAS\A019 AT Capital Humano.pdf</t>
  </si>
  <si>
    <t>AAA1205178Q2</t>
  </si>
  <si>
    <t>ACO011013F66</t>
  </si>
  <si>
    <t>AIB241015GW6</t>
  </si>
  <si>
    <t>ACO150511LC8</t>
  </si>
  <si>
    <t>GMS050607FH9</t>
  </si>
  <si>
    <t>CUA03070189A</t>
  </si>
  <si>
    <t>ANA9510267C4</t>
  </si>
  <si>
    <t>AVA070322NW7</t>
  </si>
  <si>
    <t>BAC990525GQ8</t>
  </si>
  <si>
    <t>ABS841019IK9</t>
  </si>
  <si>
    <t>BNE2009292N1</t>
  </si>
  <si>
    <t>BME0507152K7</t>
  </si>
  <si>
    <t>BME840118NG2</t>
  </si>
  <si>
    <t>CMA150529UJ9</t>
  </si>
  <si>
    <t>CIN560220AM3</t>
  </si>
  <si>
    <t>CME010607N58</t>
  </si>
  <si>
    <t>CRM6702109K6</t>
  </si>
  <si>
    <t>CIJ140510C75</t>
  </si>
  <si>
    <t>CME100120DP5</t>
  </si>
  <si>
    <t>CFR150908H5A</t>
  </si>
  <si>
    <t>COG020527U65</t>
  </si>
  <si>
    <t>CIN940623VC9</t>
  </si>
  <si>
    <t>CCI170727RZ5</t>
  </si>
  <si>
    <t>CSA920731LZ5</t>
  </si>
  <si>
    <t>CSA181207V99</t>
  </si>
  <si>
    <t>SWI5210141J5</t>
  </si>
  <si>
    <t>GCI071214UX1</t>
  </si>
  <si>
    <t>CMM941219BG6</t>
  </si>
  <si>
    <t>TER0701088V6</t>
  </si>
  <si>
    <t>DRA880113D6A</t>
  </si>
  <si>
    <t>DEE0709287PA</t>
  </si>
  <si>
    <t>DAM2010234J3</t>
  </si>
  <si>
    <t>DSE000304LT1</t>
  </si>
  <si>
    <t>DME960701JX1</t>
  </si>
  <si>
    <t>DIN050603R49</t>
  </si>
  <si>
    <t>DRA130808BC6</t>
  </si>
  <si>
    <t>DDE970801CP2</t>
  </si>
  <si>
    <t>ECG091217NX8</t>
  </si>
  <si>
    <t>ENV0708288K9</t>
  </si>
  <si>
    <t>ENN200617M96</t>
  </si>
  <si>
    <t>ENI141112SB7</t>
  </si>
  <si>
    <t>FBE9110215Z3</t>
  </si>
  <si>
    <t>FMWT0508176P6</t>
  </si>
  <si>
    <t>GRE131205P64</t>
  </si>
  <si>
    <t>GQU070619219</t>
  </si>
  <si>
    <t>GGA9903046E6</t>
  </si>
  <si>
    <t>CPH990222UA9</t>
  </si>
  <si>
    <t>HID070427BJA</t>
  </si>
  <si>
    <t>PTS080904M71</t>
  </si>
  <si>
    <t>ICI9411098G5</t>
  </si>
  <si>
    <t>ITU781018RN1</t>
  </si>
  <si>
    <t>IBS991129IH0</t>
  </si>
  <si>
    <t>CMI950920TR8</t>
  </si>
  <si>
    <t>IAF150629FZ5</t>
  </si>
  <si>
    <t>CADJ690913K38</t>
  </si>
  <si>
    <t>KMM140815591</t>
  </si>
  <si>
    <t>LMS180712ED2</t>
  </si>
  <si>
    <t>LDE540426KE4</t>
  </si>
  <si>
    <t>MGR170112DA9</t>
  </si>
  <si>
    <t>MES070327G12</t>
  </si>
  <si>
    <t>MAQ840621I76</t>
  </si>
  <si>
    <t>MET920131CN5</t>
  </si>
  <si>
    <t>MME081107RE9</t>
  </si>
  <si>
    <t>MAL911217U93</t>
  </si>
  <si>
    <t>MGE850101H17</t>
  </si>
  <si>
    <t>MSN930129PN9</t>
  </si>
  <si>
    <t>NPR980907UN5</t>
  </si>
  <si>
    <t>NLO220905KSA</t>
  </si>
  <si>
    <t>OAD140213ERA</t>
  </si>
  <si>
    <t>OFI1009275P4</t>
  </si>
  <si>
    <t>OAS140304S50</t>
  </si>
  <si>
    <t>PSM991202C2A</t>
  </si>
  <si>
    <t>PIG151215549</t>
  </si>
  <si>
    <t>GAL121129N84</t>
  </si>
  <si>
    <t>PAL850320AC2</t>
  </si>
  <si>
    <t>PHL640201RE4</t>
  </si>
  <si>
    <t>PRA0711131U1</t>
  </si>
  <si>
    <t>PCA2008072M8</t>
  </si>
  <si>
    <t>QUI930720TV2</t>
  </si>
  <si>
    <t>RMA120312NA5</t>
  </si>
  <si>
    <t>MUS960801R41</t>
  </si>
  <si>
    <t>RPS2409181B3</t>
  </si>
  <si>
    <t>RME201127KL5</t>
  </si>
  <si>
    <t>STC160830335</t>
  </si>
  <si>
    <t>SCJ020912521</t>
  </si>
  <si>
    <t>SCI891012F11</t>
  </si>
  <si>
    <t>SAD560528572</t>
  </si>
  <si>
    <t>SAM750411615</t>
  </si>
  <si>
    <t>TAM140218BS1</t>
  </si>
  <si>
    <t>TNM821207KP1</t>
  </si>
  <si>
    <t>TOI050211F30</t>
  </si>
  <si>
    <t>TEC191220HE5</t>
  </si>
  <si>
    <t>TEC1203132L9</t>
  </si>
  <si>
    <t>TGM201119914</t>
  </si>
  <si>
    <t>TEM1406066M8</t>
  </si>
  <si>
    <t>TAC111025SD5</t>
  </si>
  <si>
    <t>UES1804266N4</t>
  </si>
  <si>
    <t>ECS1212036N8</t>
  </si>
  <si>
    <t>VCC030404T80</t>
  </si>
  <si>
    <t>VOP900620MH1</t>
  </si>
  <si>
    <t>VLA030613QP2</t>
  </si>
  <si>
    <t>VIN210205EG5</t>
  </si>
  <si>
    <t>XME1208283R1</t>
  </si>
  <si>
    <t>AtCapitalHumano</t>
  </si>
  <si>
    <t>Alvarez Sanchez Edgard</t>
  </si>
  <si>
    <t>Director de recursos humanos</t>
  </si>
  <si>
    <t>edgard@atcapitalhumano.com</t>
  </si>
  <si>
    <t>Reyes Valdez Evelyn Esmeraldo</t>
  </si>
  <si>
    <t>Gerente de reclutamiento</t>
  </si>
  <si>
    <t>reclutamiento@atcapitalhumano.com</t>
  </si>
  <si>
    <t>18 de Mayo de 2026</t>
  </si>
  <si>
    <t>AMI Energy</t>
  </si>
  <si>
    <t>Argueles Martinez Amrantina</t>
  </si>
  <si>
    <t>Amarantina.arguelles@amienergy.com</t>
  </si>
  <si>
    <t>Prieto Polito Guadalupe</t>
  </si>
  <si>
    <t>Coordinadora de Atraccion de Talento</t>
  </si>
  <si>
    <t>guadalupe.prieto@amienergy.com</t>
  </si>
  <si>
    <t>FIRMAS AUTORIZADAS\A020 AMI Energy.pdf</t>
  </si>
  <si>
    <t>Belden LRC Mexico</t>
  </si>
  <si>
    <t xml:space="preserve">Jhona Alatorre Partida </t>
  </si>
  <si>
    <t>jhonathan.alatorre@beldem.com</t>
  </si>
  <si>
    <t>FIRMAS AUTORIZADAS\B007 Belden LRC Mexico.pdf</t>
  </si>
  <si>
    <t>13 de Mayo de 2026</t>
  </si>
  <si>
    <t>Capetillo Asesores</t>
  </si>
  <si>
    <t>Capetillo Lopez Jonathan Armando</t>
  </si>
  <si>
    <t>Contador Publico Auditor</t>
  </si>
  <si>
    <t>jonaclopez@outlook.com</t>
  </si>
  <si>
    <t>Capetillo Hernandez Manuel</t>
  </si>
  <si>
    <t>capetillo.asesores@gmail.com</t>
  </si>
  <si>
    <t>Esquivel Velazquez Vanessa Michelle</t>
  </si>
  <si>
    <t>esquivelvanessa812@gmail.com</t>
  </si>
  <si>
    <t>Carrier</t>
  </si>
  <si>
    <t>Flores Martinez Hugo</t>
  </si>
  <si>
    <t>HR Business Partner</t>
  </si>
  <si>
    <t>HugoAdrian.Flores@carrier.com</t>
  </si>
  <si>
    <t>Serrano Gomez Maribel</t>
  </si>
  <si>
    <t>Mgr, Talent Mgmt</t>
  </si>
  <si>
    <t>Maribel.Serrano@carrier.com</t>
  </si>
  <si>
    <t>Segura Sierra Marcelo</t>
  </si>
  <si>
    <t>HR Business Partner Intern</t>
  </si>
  <si>
    <t>Marcelo.Segura@carrier.com</t>
  </si>
  <si>
    <t>8 de Mayo de 2026</t>
  </si>
  <si>
    <t>joseg.ezpinozar@cemex.com</t>
  </si>
  <si>
    <t xml:space="preserve">Guzman Perez Regina </t>
  </si>
  <si>
    <t>Analista de recursos humanos</t>
  </si>
  <si>
    <t>regina.guzmanp@cemex.com</t>
  </si>
  <si>
    <t>Estrada Oviedo Ana Paola</t>
  </si>
  <si>
    <t>Asesor Integral Recursos humanos</t>
  </si>
  <si>
    <t>anapaola.estrada@cemex.com</t>
  </si>
  <si>
    <t>6 de Mayo de 2026</t>
  </si>
  <si>
    <t>Cold Jet Latinoamerica</t>
  </si>
  <si>
    <t>Fisher Saca Eduardo Andres</t>
  </si>
  <si>
    <t>efisher@coldjet.com</t>
  </si>
  <si>
    <t>Montoya Gaytan Clara</t>
  </si>
  <si>
    <t>Supervisor Accountant</t>
  </si>
  <si>
    <t>cmontoya@coldjet.com</t>
  </si>
  <si>
    <t>14 de Mayo de 2026</t>
  </si>
  <si>
    <t>Concord Packaging de Mexico</t>
  </si>
  <si>
    <t>Hernandez Melendez Valeria</t>
  </si>
  <si>
    <t>Responsable de recursos humanos</t>
  </si>
  <si>
    <t>rhumanos1@concordsupply.com</t>
  </si>
  <si>
    <t>Torres Hernandez Fausto</t>
  </si>
  <si>
    <t>Asistente de RR. HH Reclutamiento</t>
  </si>
  <si>
    <t>reclutadormx@concordsupply.com</t>
  </si>
  <si>
    <t>7 de Mayo de 2026</t>
  </si>
  <si>
    <t>Crediclub</t>
  </si>
  <si>
    <t xml:space="preserve">Acosta Avila Angeles Guadalupe </t>
  </si>
  <si>
    <t>Analista de administracon  de RRHH</t>
  </si>
  <si>
    <t>angeles.acosta@crediclub.com</t>
  </si>
  <si>
    <t>Lara Garcia Karla Yesika</t>
  </si>
  <si>
    <t>Analista de administracion de RRHH</t>
  </si>
  <si>
    <t>karla.lara@crediclub.com</t>
  </si>
  <si>
    <t>28 DE Abril de 2026</t>
  </si>
  <si>
    <t>EMERMEX</t>
  </si>
  <si>
    <t>Cuellar Ruiz Sergio Adolfo</t>
  </si>
  <si>
    <t>Sergio.Cuellar@vertiv.com</t>
  </si>
  <si>
    <t>ESAB</t>
  </si>
  <si>
    <t>Tamez Rios Alfonso Eduardo</t>
  </si>
  <si>
    <t>Alfonso.tamez@esab.com</t>
  </si>
  <si>
    <t>Mexicano Reyes Maria Fernanda</t>
  </si>
  <si>
    <t>Gneralista de recursos humanos</t>
  </si>
  <si>
    <t>Fernanda.mexicano@esab.com</t>
  </si>
  <si>
    <t>15 de Mayo de 2026</t>
  </si>
  <si>
    <t>Estrategias y Asesores en Seguridad Social</t>
  </si>
  <si>
    <t xml:space="preserve">Cabrera Galindo Jose Alberto </t>
  </si>
  <si>
    <t>acabrera@estrategiasyasesores.com</t>
  </si>
  <si>
    <t>Zuñiga Alcocer Carlos Geraldo</t>
  </si>
  <si>
    <t>czuñiga@estrategiasyasesores.com</t>
  </si>
  <si>
    <t>Alonso Chavez Ayde Maricela0</t>
  </si>
  <si>
    <t>Auditor</t>
  </si>
  <si>
    <t>aalonso@estrategiasyasesores.com</t>
  </si>
  <si>
    <t>FIME</t>
  </si>
  <si>
    <t>Villegas Guzman Cristina Sarai</t>
  </si>
  <si>
    <t>Coordinadora de Practicas Profesionales</t>
  </si>
  <si>
    <t>cristina.villegasg@uanl.com</t>
  </si>
  <si>
    <t>21 de Abril de 2026</t>
  </si>
  <si>
    <t>FOD</t>
  </si>
  <si>
    <t>Chapa Guadiana Daniel</t>
  </si>
  <si>
    <t>Coordinador de servicio social y practicas profesionales</t>
  </si>
  <si>
    <t>daniel.chapagd@uanl.edu.mx</t>
  </si>
  <si>
    <t>18 de Mayo</t>
  </si>
  <si>
    <t>Garcia y Asociados</t>
  </si>
  <si>
    <t>Garcia Peña Felix Rene</t>
  </si>
  <si>
    <t>Rodriguez Guajardo Martin Sergio</t>
  </si>
  <si>
    <t>rgconsultoriac@outlook.com</t>
  </si>
  <si>
    <t xml:space="preserve">Gonzales Silva Silvia de Jesus </t>
  </si>
  <si>
    <t>Recursos humanos</t>
  </si>
  <si>
    <t>despachogarcia.silviaggmail.com</t>
  </si>
  <si>
    <t>Gestion Mercantil Interactiva</t>
  </si>
  <si>
    <t>Reyes Ramirez Yessica</t>
  </si>
  <si>
    <t xml:space="preserve">Burciaga Morales Patricia Guadalupe </t>
  </si>
  <si>
    <t>Coordinadora de Contabilidad</t>
  </si>
  <si>
    <t>p.burciaga@gestioncontable.com</t>
  </si>
  <si>
    <t>Sanchez Ornelas Luis Eduardo</t>
  </si>
  <si>
    <t>Supervisor Jr</t>
  </si>
  <si>
    <t>luis.eduardo.s@gestioncontable.com.mx</t>
  </si>
  <si>
    <t>GNC</t>
  </si>
  <si>
    <t>Salazar del Angel Anahi</t>
  </si>
  <si>
    <t>HRBP CAT</t>
  </si>
  <si>
    <t>asalazar@gnc.com.mx</t>
  </si>
  <si>
    <t>Zamora Garcia Juan Daniel</t>
  </si>
  <si>
    <t>jzamorag@gnc.com.mx</t>
  </si>
  <si>
    <t>29 de Abril de 2026</t>
  </si>
  <si>
    <t>Grabados Monterrey</t>
  </si>
  <si>
    <t>Duran Elizondo Daniela</t>
  </si>
  <si>
    <t>daniela.duran@grabados-monterrey.com</t>
  </si>
  <si>
    <t>Grupo Comwor</t>
  </si>
  <si>
    <t>Flores Estrada Luis Gerardo</t>
  </si>
  <si>
    <t>lflores@grupocomwor.com</t>
  </si>
  <si>
    <t>Manzo Aboyte Elizabeth</t>
  </si>
  <si>
    <t>Jefe de recursos humanos</t>
  </si>
  <si>
    <t>emanzo@grupocomwor.com</t>
  </si>
  <si>
    <t>19 de Mayo de 2026</t>
  </si>
  <si>
    <t>Grupo GP</t>
  </si>
  <si>
    <t>FIRMAS AUTORIZADAS\G013 GRUPO GP.pdf</t>
  </si>
  <si>
    <t>10 de Mayo de 2026</t>
  </si>
  <si>
    <t>Grupo daltile</t>
  </si>
  <si>
    <t>Salazar Valeria</t>
  </si>
  <si>
    <t>Supervisor de reclutamiento y selección</t>
  </si>
  <si>
    <t>valeria.salazar@daltile.com.mx</t>
  </si>
  <si>
    <t>Gonzales Flores Maria Estela</t>
  </si>
  <si>
    <t>Jefe de reclutamiento y selección</t>
  </si>
  <si>
    <t>Maria.Gonzales@daltile.com.mx</t>
  </si>
  <si>
    <t>FIRMAS AUTORIZADAS\G012 GRUPO DALTILE.pdf</t>
  </si>
  <si>
    <t>Grupo Industrial SINCO</t>
  </si>
  <si>
    <t>Villarreal Hugo</t>
  </si>
  <si>
    <t xml:space="preserve">Director </t>
  </si>
  <si>
    <t>hugo@sinco-industrial.com</t>
  </si>
  <si>
    <t>Merino Alejandra</t>
  </si>
  <si>
    <t>Administradora</t>
  </si>
  <si>
    <t>Administracion@sinco-industrial.com</t>
  </si>
  <si>
    <t>Castillo Dora</t>
  </si>
  <si>
    <t>Administrativo</t>
  </si>
  <si>
    <t>marketing@sinco-industrial.com</t>
  </si>
  <si>
    <t>FIRMAS AUTORIZADAS\G014 GRUPO INDUSTRIAL SINCO.pdf</t>
  </si>
  <si>
    <t>20 de Mayo de 2026</t>
  </si>
  <si>
    <t>Grupo Heineken</t>
  </si>
  <si>
    <t>Uriegas Polanco Brenda</t>
  </si>
  <si>
    <t>recursoshumanos@agencialinares.com</t>
  </si>
  <si>
    <t>12 de Mayo de 2026</t>
  </si>
  <si>
    <t>HEB-Obispado</t>
  </si>
  <si>
    <t>Frias Almaguer Dinorah</t>
  </si>
  <si>
    <t>Gonzales Villarreal Ximena Yaidi</t>
  </si>
  <si>
    <t>Practicante atraccion de talento</t>
  </si>
  <si>
    <t>xgonzales@hebmex.com</t>
  </si>
  <si>
    <t>Tamez Alvarez Evelyn Alexia</t>
  </si>
  <si>
    <t>Practicante de atraccion de talento</t>
  </si>
  <si>
    <t>etamez@hebmex.com</t>
  </si>
  <si>
    <t>Sandoval del Bosque Rayber Alondra</t>
  </si>
  <si>
    <t>Lider de atraccion de talento</t>
  </si>
  <si>
    <t>FIRMAS AUTORIZADAS\H007 HEB-OBSIPADO.pdf</t>
  </si>
  <si>
    <t>Hussman</t>
  </si>
  <si>
    <t>Dominguez del Angel Eleazar Uriel</t>
  </si>
  <si>
    <t xml:space="preserve">Teniente Ramos Martha Griselda </t>
  </si>
  <si>
    <t>Human Resources Manager</t>
  </si>
  <si>
    <t>Martha.Teniente@hussman.com</t>
  </si>
  <si>
    <t>Talent acquisition coordinator</t>
  </si>
  <si>
    <t>Eleazar.Dominguez@hussman.com</t>
  </si>
  <si>
    <t>Ornelas Goytia Edwin Norberto</t>
  </si>
  <si>
    <t>Talent acquisition analyst</t>
  </si>
  <si>
    <t>Edwin.Ornelas1@hussman.com</t>
  </si>
  <si>
    <t>FIRMAS AUTORIZADAS\H008 Hussmann.pdf</t>
  </si>
  <si>
    <t>11 de Mayo de 2026</t>
  </si>
  <si>
    <t>Industrias RL</t>
  </si>
  <si>
    <t>Garza Vazquez Delia Deyanira</t>
  </si>
  <si>
    <t>capitalhumano@industriasrl.com</t>
  </si>
  <si>
    <t>FIRMAS AUTORIZADAS\I010 IINDUSTRIAS RL.pdf</t>
  </si>
  <si>
    <t>Jica Contadores</t>
  </si>
  <si>
    <t>Covarrubias Quintero Jose Alejandro</t>
  </si>
  <si>
    <t>Alexcovarrubias1999@gmail.com</t>
  </si>
  <si>
    <t>16 DE Abril de 2026</t>
  </si>
  <si>
    <t>John Deere</t>
  </si>
  <si>
    <t>Moreno Santos Alejandra Sarahi</t>
  </si>
  <si>
    <t>PL human resources analyst</t>
  </si>
  <si>
    <t>alejandramorenos@johndeere.com</t>
  </si>
  <si>
    <t>Chavez Delgadillo Maria Magdalena</t>
  </si>
  <si>
    <t>Brandin accountant lear</t>
  </si>
  <si>
    <t>chavezmariamagdalena@johndeere.com</t>
  </si>
  <si>
    <t>Juarez Medrano David Emilio</t>
  </si>
  <si>
    <t>Finance Intern</t>
  </si>
  <si>
    <t>juarezdavide@johndeere.com</t>
  </si>
  <si>
    <t>Jose Alfredo Pedraza Carrillo-Despacho Fiscal</t>
  </si>
  <si>
    <t>Pedraza Carrillo Jose Alfredo</t>
  </si>
  <si>
    <t>Despachocarrillo1504@hotmail.com</t>
  </si>
  <si>
    <t>Jose Arturo Moctezuma-Despacho Contable</t>
  </si>
  <si>
    <t>Moctezuma Mladonado Jose Arturo</t>
  </si>
  <si>
    <t>Propietario</t>
  </si>
  <si>
    <t>asesoria_moctezuma@hotmail.com</t>
  </si>
  <si>
    <t>17 Abril de 2026</t>
  </si>
  <si>
    <t xml:space="preserve">KIA Cleber </t>
  </si>
  <si>
    <t>Perez Mata Victoria Guadalupe</t>
  </si>
  <si>
    <t>Gerente recursos humanos</t>
  </si>
  <si>
    <t>victoriaperez@cleber.com</t>
  </si>
  <si>
    <t>Hernandez Olivo Cinthia Lizeth</t>
  </si>
  <si>
    <t>Reclutamiento y selección</t>
  </si>
  <si>
    <t>cinthia.hernandez@kiamax.com.mx</t>
  </si>
  <si>
    <t>27 de Abril de 2026</t>
  </si>
  <si>
    <t>Salinas Treviño Laura Hercilia</t>
  </si>
  <si>
    <t xml:space="preserve">Carrillo Gonzales Gumesiudo </t>
  </si>
  <si>
    <t>gumesalvolinares@gmail.com</t>
  </si>
  <si>
    <t>Sierra Guerra Mayra Sabina</t>
  </si>
  <si>
    <t>Encargada de pago a proveedores</t>
  </si>
  <si>
    <t>maysab7425@gmail.com</t>
  </si>
  <si>
    <t>Carrillo Sierra David Gumercindo</t>
  </si>
  <si>
    <t xml:space="preserve">Administrador </t>
  </si>
  <si>
    <t>dc19022000@gmail.com</t>
  </si>
  <si>
    <t>Logrand Entertainment group</t>
  </si>
  <si>
    <t>Jimenez Alvarez Maria Fernanda Diana</t>
  </si>
  <si>
    <t>Pucheta Seba Teresa</t>
  </si>
  <si>
    <t>Lider de IMSS</t>
  </si>
  <si>
    <t>teresa.Pucheta@Logrand.com</t>
  </si>
  <si>
    <t>Gonzales Peña Lorena</t>
  </si>
  <si>
    <t>Lider de Nomina</t>
  </si>
  <si>
    <t>lorena.gonzales@logrand.com</t>
  </si>
  <si>
    <t>Lopez Oria y Asociados</t>
  </si>
  <si>
    <t>Oria Rodriguez Dennis Alonso</t>
  </si>
  <si>
    <t>dennis.oria@lopezoria.com</t>
  </si>
  <si>
    <t>Lopez Rodriguez Ivan Pavel</t>
  </si>
  <si>
    <t>ivan.lopez@lopezoria.com</t>
  </si>
  <si>
    <t>Lubricantes de America SA de CV</t>
  </si>
  <si>
    <t>4 de Mayo de 2026</t>
  </si>
  <si>
    <t>Villanueva Esquivel Margarita</t>
  </si>
  <si>
    <t>Gerente de capital humano</t>
  </si>
  <si>
    <t>mvillanueva@lubral.com</t>
  </si>
  <si>
    <t>Salinas Flores Marla Maribel</t>
  </si>
  <si>
    <t>msalinas@lubral.com</t>
  </si>
  <si>
    <t>Mc Marquez Contadores</t>
  </si>
  <si>
    <t>Marquez Soto Gloria Leticia</t>
  </si>
  <si>
    <t>Socio director</t>
  </si>
  <si>
    <t>gloria@marquezcontadores.net</t>
  </si>
  <si>
    <t>21 de Mayo de 2026</t>
  </si>
  <si>
    <t>Montiel Tijerina Faruk Beder</t>
  </si>
  <si>
    <t>Monsa Montacargas</t>
  </si>
  <si>
    <t>Jefe de operaciones y representante legal</t>
  </si>
  <si>
    <t>fmontiel@monsamontacargas.com</t>
  </si>
  <si>
    <t>Montiel Salas Mallory Mabel</t>
  </si>
  <si>
    <t xml:space="preserve">Gerente de admiistracion </t>
  </si>
  <si>
    <t>mallorymontiel@monsamontacargas</t>
  </si>
  <si>
    <t>Salas de Leon Thelma Zelene</t>
  </si>
  <si>
    <t>Gerente de adquisicion de talento</t>
  </si>
  <si>
    <t>thelmasla</t>
  </si>
  <si>
    <t>22 de Mayo de 2026</t>
  </si>
  <si>
    <t>Marathon Electric Manufacturing</t>
  </si>
  <si>
    <t>Ricardo Jesus Lopez Valdez</t>
  </si>
  <si>
    <t>Generralista de Recursos humanos</t>
  </si>
  <si>
    <t>Veronica.villa@marathonelectric.com</t>
  </si>
  <si>
    <t>FIRMAS AUTORIZADAS\M015 MONSA MONTACARGAS.pdf</t>
  </si>
  <si>
    <t>Nemak</t>
  </si>
  <si>
    <t>Ibarra Escobedo Debanhi</t>
  </si>
  <si>
    <t>Talent Attraction Analyst MEX</t>
  </si>
  <si>
    <t>debanhi.ibarra@nemak.com</t>
  </si>
  <si>
    <t>Balandrano Alvarez Ivanna</t>
  </si>
  <si>
    <t>Talent Atracttion Analyst MEX</t>
  </si>
  <si>
    <t>ivanna.balandro@nemak.com</t>
  </si>
  <si>
    <t xml:space="preserve">Leyva Cabrera Danna Karen </t>
  </si>
  <si>
    <t>danna.leyva@nemak.com</t>
  </si>
  <si>
    <t>Nira Transportes</t>
  </si>
  <si>
    <t>Niño Ibarra Nallely Monserrath</t>
  </si>
  <si>
    <t>naidelynarlethovarnino@gmail.com</t>
  </si>
  <si>
    <t>Niño Mendez Ricardo Israel</t>
  </si>
  <si>
    <t xml:space="preserve">Gerente Administrativo </t>
  </si>
  <si>
    <t>nira240606@outlook.com</t>
  </si>
  <si>
    <t>Nissan-Linares</t>
  </si>
  <si>
    <t xml:space="preserve">Netro Torres Cesar Guadalupe </t>
  </si>
  <si>
    <t>contabilidad@nissanlinares.com.mx</t>
  </si>
  <si>
    <t>Pedraza Alejandro Daniel Enrique</t>
  </si>
  <si>
    <t>gerencia@nissanlinares.com.mx</t>
  </si>
  <si>
    <t>ONCARE</t>
  </si>
  <si>
    <t>Rodriguez Rodriguez Cinthia Guadalupe</t>
  </si>
  <si>
    <t>Cinthia.rdz@oncaregroup.com</t>
  </si>
  <si>
    <t>Gonzales Su Frida Patricia</t>
  </si>
  <si>
    <t>Frida.Gonzales@oncaregroup.com</t>
  </si>
  <si>
    <t xml:space="preserve">Almarez Barajas Juan Carlos </t>
  </si>
  <si>
    <t>Contador/RH</t>
  </si>
  <si>
    <t>Pasteleria Emmanuel</t>
  </si>
  <si>
    <t>pasteleriaemmanuel@live.com</t>
  </si>
  <si>
    <t>Rodriguez Hernandez Jesus Ronaldo</t>
  </si>
  <si>
    <t>Guajardo Guajardo Cecy Alejandra</t>
  </si>
  <si>
    <t>Perez &amp; verastegui y asociados</t>
  </si>
  <si>
    <t>Perez Alvarado Humberto</t>
  </si>
  <si>
    <t>humberto@pvasesores.com</t>
  </si>
  <si>
    <t>17 de Abril del 2026</t>
  </si>
  <si>
    <t>24 de Abril del 2026</t>
  </si>
  <si>
    <t>Pozik &amp; Simplea Deko</t>
  </si>
  <si>
    <t>Gutierres Garcia Haydee</t>
  </si>
  <si>
    <t>haydeegg@poziksnplea.com</t>
  </si>
  <si>
    <t>Vazquez Torres Iliana</t>
  </si>
  <si>
    <t>ivazquez@poziksimpleadeko.com</t>
  </si>
  <si>
    <t xml:space="preserve">Mendez Medrano Alejandro Jose </t>
  </si>
  <si>
    <t>amendez@poziksimpleadeko.com</t>
  </si>
  <si>
    <t>7 de Mayo del 2026</t>
  </si>
  <si>
    <t>Practica legal y fiscal</t>
  </si>
  <si>
    <t>Cortez Echeverria Mario Alberto</t>
  </si>
  <si>
    <t>Socio Contabilidad</t>
  </si>
  <si>
    <t>mcortez@plf.com.mx</t>
  </si>
  <si>
    <t>Preparatoria 5 UANL</t>
  </si>
  <si>
    <t>Delgado Martinez Ashley Abigail</t>
  </si>
  <si>
    <t>ashleymartinez6457@gmail.com</t>
  </si>
  <si>
    <t>Rios Aguilar Jose Pablo</t>
  </si>
  <si>
    <t>Responsable de practicas profesionales</t>
  </si>
  <si>
    <t>jose.riosa@uanl.com</t>
  </si>
  <si>
    <t>Proveedor de dulces y desechables</t>
  </si>
  <si>
    <t xml:space="preserve">Rios Quezada </t>
  </si>
  <si>
    <t>ADMONPROVEEDORA@INFINITUM.COM</t>
  </si>
  <si>
    <t>Moreno Rodriguez Edgardo</t>
  </si>
  <si>
    <t>Contador general/ Recursos humanos</t>
  </si>
  <si>
    <t>Emr_18@hotmail.com</t>
  </si>
  <si>
    <t>Quality steel</t>
  </si>
  <si>
    <t>Balderas Reyes Horacio Milton</t>
  </si>
  <si>
    <t>QualitySteelAdm@hotmail.com</t>
  </si>
  <si>
    <t>Puente Velazquez Felipe</t>
  </si>
  <si>
    <t>QualitySteelRH@hotmail.com</t>
  </si>
  <si>
    <t>Bermea Valdez Alejandro Ruben</t>
  </si>
  <si>
    <t xml:space="preserve">Gerente de ventas </t>
  </si>
  <si>
    <t>QualitySteelVentas@hotmail.com</t>
  </si>
  <si>
    <t>Quintero Hernandez Adriana</t>
  </si>
  <si>
    <t>aquintero@qca.com.mx</t>
  </si>
  <si>
    <t>Quintero Castillo &amp; Asociados</t>
  </si>
  <si>
    <t xml:space="preserve">Reconstructora Diaz </t>
  </si>
  <si>
    <t>Hernandez Castilla Juventino</t>
  </si>
  <si>
    <t>Juventino@ssaj.com.mx</t>
  </si>
  <si>
    <t>RECONSTRUCTORA DIAZ</t>
  </si>
  <si>
    <t xml:space="preserve">Diaz Diaz Jose Said </t>
  </si>
  <si>
    <t>bombasdiaz@hotmail.com</t>
  </si>
  <si>
    <t>25 de Marzo de 2026</t>
  </si>
  <si>
    <t>Chapa Vela Ruben</t>
  </si>
  <si>
    <t>Gomez Treviño Veronica Adriana</t>
  </si>
  <si>
    <t>Coordinadora RH</t>
  </si>
  <si>
    <t>vgomez@prodensa,.com</t>
  </si>
  <si>
    <t>Barajas Guerra Andrea Michel</t>
  </si>
  <si>
    <t>Lider RH</t>
  </si>
  <si>
    <t>ambarajas@prodensa.com</t>
  </si>
  <si>
    <t>Muñiz Ramirez Eduardo</t>
  </si>
  <si>
    <t>Fazilitador de RH</t>
  </si>
  <si>
    <t>emniz@prodensa.com</t>
  </si>
  <si>
    <t>REZNOR</t>
  </si>
  <si>
    <t>Guillen Romero Jared Ernesto</t>
  </si>
  <si>
    <t>RP soluciones</t>
  </si>
  <si>
    <t>RPSoluciones98@gmail.com</t>
  </si>
  <si>
    <t>Escamilla Gonzales Martha Alicia</t>
  </si>
  <si>
    <t>Recrusos humanos</t>
  </si>
  <si>
    <t>RpSoluciones98@gmail.com</t>
  </si>
  <si>
    <t>Alvarado Vargas &amp; Arangua Asociados</t>
  </si>
  <si>
    <t>26 de Mayo de 2026</t>
  </si>
  <si>
    <t>Russell Bedford</t>
  </si>
  <si>
    <t>Reyes Ramirez Anet Melissa</t>
  </si>
  <si>
    <t>Lider de recursos humanos</t>
  </si>
  <si>
    <t>areyes@russellbedford.com</t>
  </si>
  <si>
    <t>Garcia Tobias Angie Fernanda</t>
  </si>
  <si>
    <t>Staff de recrusos humanos</t>
  </si>
  <si>
    <t>a.garcia@russellbedford.mx</t>
  </si>
  <si>
    <t>Red Girasol Sapi</t>
  </si>
  <si>
    <t xml:space="preserve">Capital humano </t>
  </si>
  <si>
    <t>Palmier Arredondo Aide</t>
  </si>
  <si>
    <t>apalmier@redgirasol.com</t>
  </si>
  <si>
    <t>Finanzas</t>
  </si>
  <si>
    <t>Cedillo Sebastian Citlali</t>
  </si>
  <si>
    <t>ccedillo@redgirasol.com</t>
  </si>
  <si>
    <t>Lopez Gonzales Carmen Meyru</t>
  </si>
  <si>
    <t>Capital humano</t>
  </si>
  <si>
    <t>meyrulg@gmail.com</t>
  </si>
  <si>
    <t>29 de abril de 2026</t>
  </si>
  <si>
    <t xml:space="preserve">Sagastra </t>
  </si>
  <si>
    <t>Hernandez Garcia Alberto de Jesus</t>
  </si>
  <si>
    <t>Socio en area legal</t>
  </si>
  <si>
    <t>socio en area contable y fiscal</t>
  </si>
  <si>
    <t>ahernandez@sagastra.com.mx</t>
  </si>
  <si>
    <t xml:space="preserve">Hernandez Garcia Diana </t>
  </si>
  <si>
    <t>dhernandez@sagastra.com.mx</t>
  </si>
  <si>
    <t>Servicios de limpieza de inmuebles</t>
  </si>
  <si>
    <t xml:space="preserve">Garcia Yañez Gilda Lizeth </t>
  </si>
  <si>
    <t xml:space="preserve">Administracion </t>
  </si>
  <si>
    <t>gilda@cielitolimpio.com</t>
  </si>
  <si>
    <t>SIMEPRODE</t>
  </si>
  <si>
    <t>Chapa Rangel Ernesto</t>
  </si>
  <si>
    <t>ERNESTO.CHAPA@NUEVOLEON.GOB.MX</t>
  </si>
  <si>
    <t xml:space="preserve">jimenez Encinia Angelica Lucia </t>
  </si>
  <si>
    <t xml:space="preserve">Jefe de capacitacion </t>
  </si>
  <si>
    <t>ANGELICA.JIMENEZ@NUEVOLEON.GOB.MX</t>
  </si>
  <si>
    <t>Solis Wallmark</t>
  </si>
  <si>
    <t>Asistente de gerencia RH</t>
  </si>
  <si>
    <t>GABRIELA.SOLIS@NUEVOLEON.GOB.MX</t>
  </si>
  <si>
    <t>20 de Marzo de 2026</t>
  </si>
  <si>
    <t>Smithers-Oasis</t>
  </si>
  <si>
    <t>Gamez Estrada Juan Carlos</t>
  </si>
  <si>
    <t>Cuellar Santos Carlos Alberto</t>
  </si>
  <si>
    <t xml:space="preserve">Gerente de administracion y finanzas </t>
  </si>
  <si>
    <t>ccuellar@smitheroasis.com</t>
  </si>
  <si>
    <t>Montes de Oca Sergio Ramos</t>
  </si>
  <si>
    <t>Contador general</t>
  </si>
  <si>
    <t>sramos@smitheroasis.com</t>
  </si>
  <si>
    <t>Coordunador de RH</t>
  </si>
  <si>
    <t>jcgamez@smitheroasis.com</t>
  </si>
  <si>
    <t>Socio en area contable y fiscal</t>
  </si>
  <si>
    <t>Hernandez Garcia Diana</t>
  </si>
  <si>
    <t>SODISA</t>
  </si>
  <si>
    <t>Manzano Muñiz Jose Aaron</t>
  </si>
  <si>
    <t>Coordinador de administracion personal</t>
  </si>
  <si>
    <t>amanzano@sodisa.com</t>
  </si>
  <si>
    <t>Campos Rubio Damaris</t>
  </si>
  <si>
    <t>drubio@sodisa.com</t>
  </si>
  <si>
    <t>Solistica</t>
  </si>
  <si>
    <t>Limones Castillo Guillermina</t>
  </si>
  <si>
    <t>Analista RH</t>
  </si>
  <si>
    <t>guillermina.limones@solistica.com</t>
  </si>
  <si>
    <t>Taraco Vazquez Jose Arturo</t>
  </si>
  <si>
    <t>Jefe de informacion financiera</t>
  </si>
  <si>
    <t>jose.taraco@solistica.com</t>
  </si>
  <si>
    <t>10 de Abril de 2026</t>
  </si>
  <si>
    <t>SACOFI</t>
  </si>
  <si>
    <t>Flores Castillo Elizabeth</t>
  </si>
  <si>
    <t>eflores@sacofi.com.mx</t>
  </si>
  <si>
    <t>21 de Mayo de 2926</t>
  </si>
  <si>
    <t>Technochairs</t>
  </si>
  <si>
    <t>Rodriguez Torres Rosalinda</t>
  </si>
  <si>
    <t>recursoshumanos@technochairs</t>
  </si>
  <si>
    <t>Hernandez Estrada Alejandra Paola</t>
  </si>
  <si>
    <t>reclutamiento@technochairs</t>
  </si>
  <si>
    <t>TEMPEL</t>
  </si>
  <si>
    <t>Coordinadora reclutamiento y selección RH</t>
  </si>
  <si>
    <t xml:space="preserve">Suarez Cruz Isabel Ivonne </t>
  </si>
  <si>
    <t>isuarez@tempel.com</t>
  </si>
  <si>
    <t>Segovia Hernandez Francisca Monserrat</t>
  </si>
  <si>
    <t>HR. Assitant</t>
  </si>
  <si>
    <t>msegovia@tempel.com</t>
  </si>
  <si>
    <t>ULINE INES</t>
  </si>
  <si>
    <t>Layta Muñiz</t>
  </si>
  <si>
    <t xml:space="preserve">Rojas Medina Orphangelica </t>
  </si>
  <si>
    <t>8181567400 ext 82348</t>
  </si>
  <si>
    <t>angie.rojas@uline.com</t>
  </si>
  <si>
    <t>Torres Mireles Roxana Guadalupe</t>
  </si>
  <si>
    <t>8181567400 ext 81742</t>
  </si>
  <si>
    <t>Hernandez Aguilar Jorge Luis</t>
  </si>
  <si>
    <t>HR Rep</t>
  </si>
  <si>
    <t>8181567400 ext 82004</t>
  </si>
  <si>
    <t>jorgeluis.hernandez@uline.com</t>
  </si>
  <si>
    <t>5 de Mayo de 2026</t>
  </si>
  <si>
    <t>Manzanares Agular Cynthia Alejandra</t>
  </si>
  <si>
    <t>alejandra.aguilar@vice-mx.com</t>
  </si>
  <si>
    <t>Laredo Castillo Sonia Steysi</t>
  </si>
  <si>
    <t>sonia.laredo@vice-mx.com</t>
  </si>
  <si>
    <t xml:space="preserve">VICE </t>
  </si>
  <si>
    <t>Vikingos Eventos</t>
  </si>
  <si>
    <t>De la Peña Arredondo Jair de Jesus</t>
  </si>
  <si>
    <t>direccion@bnextlevel.com.mx</t>
  </si>
  <si>
    <t>Moreno Garcia Andrea</t>
  </si>
  <si>
    <t>administracion@bnextlevel.com.mx</t>
  </si>
  <si>
    <t>Montemayor Flores Manrique M.</t>
  </si>
  <si>
    <t>Ejecutivo de cuenta</t>
  </si>
  <si>
    <t>rrhh@bnextlevel.com.mx</t>
  </si>
  <si>
    <t>Garcia Zorola Jesus Jorge</t>
  </si>
  <si>
    <t>jack@vitau.mx</t>
  </si>
  <si>
    <t>Richo Mauricio</t>
  </si>
  <si>
    <t>Lider de operaciones</t>
  </si>
  <si>
    <t>richo@vitau.mx</t>
  </si>
  <si>
    <t>Fernandez Adolfo</t>
  </si>
  <si>
    <t>adolfo@vitau.mx</t>
  </si>
  <si>
    <t>Vitau medical</t>
  </si>
  <si>
    <t>Whirpool Mexico</t>
  </si>
  <si>
    <t>Rivera Chantal</t>
  </si>
  <si>
    <t>Hernandez Azul Rocio</t>
  </si>
  <si>
    <t>Associate HR Operations</t>
  </si>
  <si>
    <t>azul_r_hernandez@whirpool.com</t>
  </si>
  <si>
    <t>Galicia Camacho Naomi</t>
  </si>
  <si>
    <t>Auxiliar de reclutamiento y selección</t>
  </si>
  <si>
    <t>naomi_galicia_camacho@whirpool.com</t>
  </si>
  <si>
    <t>Alonso Gonzales Jorge Alberto</t>
  </si>
  <si>
    <t>Manager recursos humanos</t>
  </si>
  <si>
    <t>jorge.alonso@mx.abb.com</t>
  </si>
  <si>
    <t>Ac pollo del centro</t>
  </si>
  <si>
    <t>Serrato Marquez Paola Jaqueline</t>
  </si>
  <si>
    <t>Coordinador de departamento de nomina y recursos humanos</t>
  </si>
  <si>
    <t>pserrato@acpollo.com</t>
  </si>
  <si>
    <t>Martinez Coronado Javier Yair</t>
  </si>
  <si>
    <t>conta03@acpollo.com</t>
  </si>
  <si>
    <t>Jasso Gonzales Deyanira</t>
  </si>
  <si>
    <t>Jefe area contabilidad y administracion</t>
  </si>
  <si>
    <t>djasso@acpollo.com8181391938</t>
  </si>
  <si>
    <t xml:space="preserve">AD CORPORATIVE </t>
  </si>
  <si>
    <t>Rocha Caballero Javier</t>
  </si>
  <si>
    <t>director de RH</t>
  </si>
  <si>
    <t>Servicioscontables.jrc@gmail.com</t>
  </si>
  <si>
    <t>Rodriguez Baez Abraham Osvaldo</t>
  </si>
  <si>
    <t>Director ejecutivo</t>
  </si>
  <si>
    <t>Admservicios-20@hotamil.com</t>
  </si>
  <si>
    <t xml:space="preserve">Lopez de Avila Diana Magdalena </t>
  </si>
  <si>
    <t>Admservicios-20@hotmail.com</t>
  </si>
  <si>
    <t>BACYF</t>
  </si>
  <si>
    <t xml:space="preserve">Loredo Vega Silvia </t>
  </si>
  <si>
    <t>Contadora</t>
  </si>
  <si>
    <t>silviabafyc@me.com</t>
  </si>
  <si>
    <t>25  de Mayo de 2026</t>
  </si>
  <si>
    <t xml:space="preserve">BM Asesoria </t>
  </si>
  <si>
    <t>Ibarra Aldana Diego Ivan</t>
  </si>
  <si>
    <t>Propietario y representante legal</t>
  </si>
  <si>
    <t>dieibarra28@gmail.com</t>
  </si>
  <si>
    <t>Marin Tamez Blanca Beatriz Magdalena</t>
  </si>
  <si>
    <t>Administradora general</t>
  </si>
  <si>
    <t>bmartinez@gmail.com</t>
  </si>
  <si>
    <t>BYA</t>
  </si>
  <si>
    <t>Macias Daniel A.</t>
  </si>
  <si>
    <t xml:space="preserve">Rodriguez Reyes Rubi </t>
  </si>
  <si>
    <t>capitalhumano@byaclean.com.mx</t>
  </si>
  <si>
    <t>Esquivel Hernandez Yasmin Esmeralda</t>
  </si>
  <si>
    <t>Gerente de ventas</t>
  </si>
  <si>
    <t>ventas@byaclean.com.mx</t>
  </si>
  <si>
    <t>Muñoz Regalado Cinthya Mayte</t>
  </si>
  <si>
    <t>cinthya@byaclean.com.mx</t>
  </si>
  <si>
    <t>25 de Mayo de 2026</t>
  </si>
  <si>
    <t>Chavarria Esquivel y Asociados SC</t>
  </si>
  <si>
    <t>Gonzales Chavarria Lizbeth Alejandra</t>
  </si>
  <si>
    <t>agonzales@grupoasertax.mx</t>
  </si>
  <si>
    <t>Guillen Trinidad Tomas</t>
  </si>
  <si>
    <t>tguillen@grupoasertax.mx</t>
  </si>
  <si>
    <t>DOOSAN</t>
  </si>
  <si>
    <t>Avila Torres Anahi Elena</t>
  </si>
  <si>
    <t>Talent Acquisition Specialist SR.</t>
  </si>
  <si>
    <t>anahi.avila@doosan.com</t>
  </si>
  <si>
    <t>FIRMAS AUTORIZADAS\Doosan Bobcat.pdf</t>
  </si>
  <si>
    <t>DESPACHO K FACIL CONTADORES</t>
  </si>
  <si>
    <t>felix.lazcano@cafeunamuno.com</t>
  </si>
  <si>
    <t>Lazcano Mayrl Félix</t>
  </si>
  <si>
    <t xml:space="preserve">felix.lazcano@cafeunamuno.com </t>
  </si>
  <si>
    <t>29 de Mayo de 2026</t>
  </si>
  <si>
    <t xml:space="preserve">FIRMAS AUTORIZADAS\C038 CAFE UNAMUNO.pdf </t>
  </si>
  <si>
    <t>CCMR</t>
  </si>
  <si>
    <t>Esquivel Cárdenas Jessica Odette</t>
  </si>
  <si>
    <t>Gerente de Recursos Humano</t>
  </si>
  <si>
    <t>Administracion2@ccmrindustrias.com</t>
  </si>
  <si>
    <t>FIRMAS AUTORIZADAS\C039 CCMR INDUSTRIAS.pdf</t>
  </si>
  <si>
    <t>Centro de Autoservicio La Esperanza S. de R.L de C.V.</t>
  </si>
  <si>
    <t>Solis Garcia Jasinto</t>
  </si>
  <si>
    <t>Director de RH</t>
  </si>
  <si>
    <t>Solis Hernandez Esperanza Edith</t>
  </si>
  <si>
    <t>Oficina</t>
  </si>
  <si>
    <t>Esperanza.Solis.Hdz@gmail.com</t>
  </si>
  <si>
    <t>Uriegas JR. Angel Mauricio</t>
  </si>
  <si>
    <t>angelMario2301@gmail.com</t>
  </si>
  <si>
    <t>Gonzales Luna Yoselin Yasmin</t>
  </si>
  <si>
    <t>yoselingzz610@gmail.com</t>
  </si>
  <si>
    <t>FIRMAS AUTORIZADAS\C040 CENTRO DE AUTOSERVICIO LA ESPERANZA.pdf</t>
  </si>
  <si>
    <t>28 de Mayo de 2026</t>
  </si>
  <si>
    <t xml:space="preserve">El Texano </t>
  </si>
  <si>
    <t xml:space="preserve">Niño Díaz Jessica Lourdes </t>
  </si>
  <si>
    <t>rh@eltexano.com</t>
  </si>
  <si>
    <t>Paura Arzola Edith Alexa</t>
  </si>
  <si>
    <t>Planeación y Finanzas</t>
  </si>
  <si>
    <t>complementos@eltexano.com</t>
  </si>
  <si>
    <t>FASTENAL</t>
  </si>
  <si>
    <t>Salinas Alcocer Yssel</t>
  </si>
  <si>
    <t>Directora de compliance</t>
  </si>
  <si>
    <t xml:space="preserve">ysalinas@fastenal.com </t>
  </si>
  <si>
    <t>Jacobo Almaraz Karina</t>
  </si>
  <si>
    <t>Regional de reclutamiento</t>
  </si>
  <si>
    <t>kjacobo@fastenal.com</t>
  </si>
  <si>
    <t>FIRMAS AUTORIZADAS\F009 FASTENAL.pdf</t>
  </si>
  <si>
    <t>Rodríguez Garza Ramón Gerardo</t>
  </si>
  <si>
    <t>Coordinación Prácticas Profesionales</t>
  </si>
  <si>
    <t>8183294110 Ext. 6443</t>
  </si>
  <si>
    <t xml:space="preserve">ramon.rodriguezgrz@uanl.edu.mx </t>
  </si>
  <si>
    <t>FIRMAS AUTORIZADAS\F006 Fac. de Ciencias Biológicas, UANL.pdf</t>
  </si>
  <si>
    <t>27 de Mayo de 2026</t>
  </si>
  <si>
    <t>FMMINMOBILIARIA</t>
  </si>
  <si>
    <t>Acosta Cázares Gustavo</t>
  </si>
  <si>
    <t xml:space="preserve">gacosta@cuallix.com </t>
  </si>
  <si>
    <t xml:space="preserve">Directora </t>
  </si>
  <si>
    <t xml:space="preserve">gacosta@cuallix.com  </t>
  </si>
  <si>
    <t xml:space="preserve">ysalinas@fastenal.com  </t>
  </si>
  <si>
    <t xml:space="preserve">ramon.rodriguezgrz@uanl.edu.mx  </t>
  </si>
  <si>
    <t>Magaña López Gabriel</t>
  </si>
  <si>
    <t>gmagana@cuallix.com</t>
  </si>
  <si>
    <t>FIRMAS AUTORIZADAS\F010 FMMINMOBILIARIA.pdf</t>
  </si>
  <si>
    <t xml:space="preserve">Gonzáles Solís </t>
  </si>
  <si>
    <t>Suarez Davila Demy Damaris</t>
  </si>
  <si>
    <t xml:space="preserve">d.davila@gs.com.mx </t>
  </si>
  <si>
    <t xml:space="preserve">d.davila@gs.com.mx  </t>
  </si>
  <si>
    <t>Marquez Mata Cynthia Lizeth</t>
  </si>
  <si>
    <t xml:space="preserve">c.marquez@gs.com.mx </t>
  </si>
  <si>
    <t>Cedeño González Danna Regina</t>
  </si>
  <si>
    <t>Encargada de Talento y Cultura</t>
  </si>
  <si>
    <t xml:space="preserve">aux.talento@gs.com.mx </t>
  </si>
  <si>
    <t>FIRMAS AUTORIZADAS\G016 GONZALEZ SOLIS.pdf</t>
  </si>
  <si>
    <t>Grupo Acero FDZ</t>
  </si>
  <si>
    <t>Ramírez Bravo Jose Alonso</t>
  </si>
  <si>
    <t>Gerente de RRHHH</t>
  </si>
  <si>
    <t xml:space="preserve">reclutamiento@grupofernandez.mx </t>
  </si>
  <si>
    <t xml:space="preserve">reclutamiento@grupofernandez.mx  </t>
  </si>
  <si>
    <t>Péres Cruz María de Jésus</t>
  </si>
  <si>
    <t>Asistente de RRHH</t>
  </si>
  <si>
    <t>Gerente de RRHH</t>
  </si>
  <si>
    <t xml:space="preserve">asistente.rh@grupofernandez.mx </t>
  </si>
  <si>
    <t>FIRMAS AUTORIZADAS\G017 Grupo Acero FDZ.pdf</t>
  </si>
  <si>
    <t>23 de Mayo de 2026</t>
  </si>
  <si>
    <t>Grupo LOGUINEXT</t>
  </si>
  <si>
    <t>Franco Leal Iliana Patricia</t>
  </si>
  <si>
    <t>Directora de Recursos Humanos</t>
  </si>
  <si>
    <t>iliana.franco.95@hotmail.com</t>
  </si>
  <si>
    <t>FIRMAS AUTORIZADAS\G018 Grupo Loguinext.pdf</t>
  </si>
  <si>
    <t>Hanon SYSTEMS</t>
  </si>
  <si>
    <t>Ródriguez Gonzalez Janeth</t>
  </si>
  <si>
    <t>Nóminas y Relaciones Laborales</t>
  </si>
  <si>
    <t>pmarti87@hanonsystems.com</t>
  </si>
  <si>
    <t>Martínez Ramos Patricia</t>
  </si>
  <si>
    <t xml:space="preserve">pmarti87@hanonsystems.com  </t>
  </si>
  <si>
    <t>jrodri62@hanonsystems.com</t>
  </si>
  <si>
    <t>FIRMAS AUTORIZADAS\H009 HANON SYSTEMS.pdf</t>
  </si>
  <si>
    <t>FIRMAS AUTORIZADAS\H006 Hospital Veterinario Dr. Serna.pdf</t>
  </si>
  <si>
    <t>Cavazos Valdés Edelmiro</t>
  </si>
  <si>
    <t xml:space="preserve">injuve@nuevoleon.gob.mx </t>
  </si>
  <si>
    <t xml:space="preserve">injuve@nuevoleon.gob.mx  </t>
  </si>
  <si>
    <t>FIRMAS AUTORIZADAS\I011 Instituto Estatal de la Juventud.pdf</t>
  </si>
  <si>
    <t>Jaguar</t>
  </si>
  <si>
    <t>Reyna Solis Aylin Lizet</t>
  </si>
  <si>
    <t>Jefa de Nomina</t>
  </si>
  <si>
    <t>asolis@stjaguar.com.mx</t>
  </si>
  <si>
    <t>FIRMAS AUTORIZADAS\J006 JAGUAR.pdf</t>
  </si>
  <si>
    <t>JAVER</t>
  </si>
  <si>
    <t>Gandara Vargas Dante Rudyard</t>
  </si>
  <si>
    <t>Coordinador de atracción de talento</t>
  </si>
  <si>
    <t xml:space="preserve">dgandara@javer.com.mx </t>
  </si>
  <si>
    <t xml:space="preserve">dgandara@javer.com.mx  </t>
  </si>
  <si>
    <t>FIRMAS AUTORIZADAS\J007 JAVER.pdf</t>
  </si>
  <si>
    <t>Gracia Vásquez Yolanda Araceli</t>
  </si>
  <si>
    <t>8183294000 ext. 6211</t>
  </si>
  <si>
    <t>Yolanda.graciav@uanl.mx</t>
  </si>
  <si>
    <t>FIRMAS AUTORIZADAS\F011 Facultad de Ciencias Químicas, UANL..pdf</t>
  </si>
  <si>
    <t>Jones Plastic Engineering de Monterrey</t>
  </si>
  <si>
    <t>Mendoza Cisneros Gustavo Ezequiel</t>
  </si>
  <si>
    <t>ernendoza@jonesplastic.com</t>
  </si>
  <si>
    <t>Lopez Palomares Marcos Ivan</t>
  </si>
  <si>
    <t>Coordinador de Seguridad</t>
  </si>
  <si>
    <t>ilopez@jonesplastic.com</t>
  </si>
  <si>
    <t>De Lira Contreras Ma Araceli</t>
  </si>
  <si>
    <t>adelira@jonesplastic.com</t>
  </si>
  <si>
    <t>FIRMAS AUTORIZADAS\J008 JONES PLASTIC &amp; ENGINEERING.pdf</t>
  </si>
  <si>
    <t>Kisa Kelvin Ingieneria</t>
  </si>
  <si>
    <t>Villareal Cantú Martín Gerardo</t>
  </si>
  <si>
    <t>Ramirez Aleman Jessica Arleth</t>
  </si>
  <si>
    <t>Gerente Administrativa</t>
  </si>
  <si>
    <t>jessica.arleth@me.com</t>
  </si>
  <si>
    <t>FIRMAS AUTORIZADAS\K003 KISA-KELVIN INGENIERIA.pdf</t>
  </si>
  <si>
    <t>Navasa</t>
  </si>
  <si>
    <t>Carrera Valdéz Estefanhí Anahí</t>
  </si>
  <si>
    <t>Anahi_valdez20@hotmail.com</t>
  </si>
  <si>
    <t>valdez Sanchez Nancy Alejandra</t>
  </si>
  <si>
    <t>Jefe de despacho</t>
  </si>
  <si>
    <t>Nancy_valdez32@hotmail.com</t>
  </si>
  <si>
    <t>Carrera Valdez Luis Fernando</t>
  </si>
  <si>
    <t>Coordinador de logistica</t>
  </si>
  <si>
    <t>Luis67_valdez@hotmail.com</t>
  </si>
  <si>
    <t>FIRMAS AUTORIZADAS\N006 NAVASA.pdf</t>
  </si>
  <si>
    <t>PARTALUM</t>
  </si>
  <si>
    <t>Campos Cisneros Daniel Hernan</t>
  </si>
  <si>
    <t>Auxilio RH</t>
  </si>
  <si>
    <t>partalumpracticas@gmail.com</t>
  </si>
  <si>
    <t>FIRMAS AUTORIZADAS\P016 PARTALUM.pdf</t>
  </si>
  <si>
    <t>RED DE TALENTO EMPRESARIAL</t>
  </si>
  <si>
    <t>Vázquez Castillo Juan Antonio</t>
  </si>
  <si>
    <t>8183562600 ext 4710</t>
  </si>
  <si>
    <t>jvazquez@paynau.com</t>
  </si>
  <si>
    <t xml:space="preserve">jvazquez@paynau.com </t>
  </si>
  <si>
    <t>FIRMAS AUTORIZADAS\R011 RED DE TALENTO EMPRESARIAL.pdf</t>
  </si>
  <si>
    <t>Roka</t>
  </si>
  <si>
    <t>Kidder Hernandez Roberto Oscar</t>
  </si>
  <si>
    <t>Dueño</t>
  </si>
  <si>
    <t>rkidderroka@gmail.com</t>
  </si>
  <si>
    <t>Garza Gonzalez Jose Armando</t>
  </si>
  <si>
    <t>Socio y accionista principal</t>
  </si>
  <si>
    <t xml:space="preserve">armandoroka92@gmail.com </t>
  </si>
  <si>
    <t>Mendoza Hernandez Jaison Manuel</t>
  </si>
  <si>
    <t xml:space="preserve">jmendozaroka@gmail.com </t>
  </si>
  <si>
    <t>FIRMAS AUTORIZADAS\R012 ROKA.pdf</t>
  </si>
  <si>
    <t>SHN Sistemas Hidronicos del Norte</t>
  </si>
  <si>
    <t>Jimenez Morin Rogelio</t>
  </si>
  <si>
    <t>8189899372 Ext. 113</t>
  </si>
  <si>
    <t>rh@shn.com.mx</t>
  </si>
  <si>
    <t>FIRMAS AUTORIZADAS\S021 SHN SISTEMS  HIDRONICOS DEL NORTE.pdf</t>
  </si>
  <si>
    <t>Therica</t>
  </si>
  <si>
    <t>Sanchez Zapata Ricardo Alejandro</t>
  </si>
  <si>
    <t>Silva Tovar Jesus</t>
  </si>
  <si>
    <t>Gerente de Fianzas y Recursos Humanos</t>
  </si>
  <si>
    <t xml:space="preserve">Jesus.silva@Theirica.com </t>
  </si>
  <si>
    <t>leija Escobedo Juan</t>
  </si>
  <si>
    <t>Coordinador AP</t>
  </si>
  <si>
    <t>Juan.leija@thierica.com</t>
  </si>
  <si>
    <t>Navarro Hidalgo patricia</t>
  </si>
  <si>
    <t>Coordinadora de Recursos Humanos</t>
  </si>
  <si>
    <t>Patricia.navarro@thierica.com</t>
  </si>
  <si>
    <t>FIRMAS AUTORIZADAS\T015 THIERICA.pdf</t>
  </si>
  <si>
    <t>Wood-Mizer México</t>
  </si>
  <si>
    <t>Rodríguez Morfin Luis Carlos</t>
  </si>
  <si>
    <t>Auxiliar Administrativo</t>
  </si>
  <si>
    <t xml:space="preserve">luisitoprr6@gmail.com </t>
  </si>
  <si>
    <t>FIRMAS AUTORIZADAS\W002 Wood-Mizer México.pdf</t>
  </si>
  <si>
    <t>YELOS</t>
  </si>
  <si>
    <t>Cura Reyna Juan Enrique</t>
  </si>
  <si>
    <t>8112231002 ext. 129</t>
  </si>
  <si>
    <t>enrique.cura@yelos.com.mx</t>
  </si>
  <si>
    <t>Flores Huerta Diana Guadalupe</t>
  </si>
  <si>
    <t xml:space="preserve">Reclutamiento y Selección </t>
  </si>
  <si>
    <t>8112341012 ext. 129</t>
  </si>
  <si>
    <t>recursoshumanos@yelos.com.mx</t>
  </si>
  <si>
    <t>Coronado Rivera Zuri Zabdiel</t>
  </si>
  <si>
    <t>zcoronado@yelos.com.mx</t>
  </si>
  <si>
    <t>FIRMAS AUTORIZADAS\Y001 YOR TE SA DE CV.pdf</t>
  </si>
  <si>
    <t>Zemgo HOPE</t>
  </si>
  <si>
    <t>Lopez Gonzalez Jose Abelardo</t>
  </si>
  <si>
    <t>Administración</t>
  </si>
  <si>
    <t>alopez@hope.com.mx</t>
  </si>
  <si>
    <t>Belmares Belmares Alejandro</t>
  </si>
  <si>
    <t>abelmares@zemgo.mx</t>
  </si>
  <si>
    <t>Castro Moreno Laura</t>
  </si>
  <si>
    <t>contacto@hope.com.mx</t>
  </si>
  <si>
    <t>FIRMAS AUTORIZADAS\Z001 Zemgo HOPE.pdf</t>
  </si>
  <si>
    <t>CHRISTUS MUGUERZA</t>
  </si>
  <si>
    <t>Saenz Rodriguez Gabriela</t>
  </si>
  <si>
    <t>Chapa Guardiana Daniel</t>
  </si>
  <si>
    <t>Ruiz Guajardo Edgar Eduardo</t>
  </si>
  <si>
    <t>edgar.ruiz@christuscei.mx</t>
  </si>
  <si>
    <t>FIRMAS AUTORIZADAS\C041 CHRISTUS MUGUERZA.pdf</t>
  </si>
  <si>
    <t>01 de Junio de 2026</t>
  </si>
  <si>
    <t>COMERCIALIZADORA DE EQUIPOS</t>
  </si>
  <si>
    <t>Perez Vazquez Jose Guadalupe</t>
  </si>
  <si>
    <t>gerencia@comessa.com.mx</t>
  </si>
  <si>
    <t>Aguilar Perez Jose Luis</t>
  </si>
  <si>
    <t>Analista de compras y ventas</t>
  </si>
  <si>
    <t>lius@comessa.com.mx</t>
  </si>
  <si>
    <t>FIRMAS AUTORIZADAS\C042 COMERCIALIZADORA DE EQUIPOS.pdf</t>
  </si>
  <si>
    <t>Delizazon</t>
  </si>
  <si>
    <t>Mercado Bañuelos Iñaki</t>
  </si>
  <si>
    <t>iñakimb@pollomaton.com</t>
  </si>
  <si>
    <t>FIRMAS AUTORIZADAS\D020 DELISAZON.pdf</t>
  </si>
  <si>
    <t>Fernandez Soto Luis Mauricio</t>
  </si>
  <si>
    <t>INDUSTRIAL COEX MEXICO</t>
  </si>
  <si>
    <t>Mauricio.fernandez@industrialcoex.com.mx</t>
  </si>
  <si>
    <t>Valdez Coronado Laura Ivonne</t>
  </si>
  <si>
    <t>Promocion y Marketing</t>
  </si>
  <si>
    <t>Laura.valdez@industrial.com.mx</t>
  </si>
  <si>
    <t>Castillo Leal Myrna ivonne</t>
  </si>
  <si>
    <t>Ivonne.castillo@industrialcoex.com.mx</t>
  </si>
  <si>
    <t>FIRMAS AUTORIZADAS\I012 INDUSTRIAL COEX MEXICO.pdf</t>
  </si>
  <si>
    <t>Aldana de la Cruz lleana</t>
  </si>
  <si>
    <t>Materiales Saldaña</t>
  </si>
  <si>
    <t xml:space="preserve">Matsal_contabilidad@hotmail.com  </t>
  </si>
  <si>
    <t>Ferresal_@ hotmail.com</t>
  </si>
  <si>
    <t>Bustos Serna Zayda</t>
  </si>
  <si>
    <t>FIRMAS AUTORIZADAS\M017 Materiales Saldaña.pdf</t>
  </si>
  <si>
    <t>02 de Junio de 2026</t>
  </si>
  <si>
    <t>MRO BUSSINS</t>
  </si>
  <si>
    <t>Rodolfo Montoya Nuñez</t>
  </si>
  <si>
    <t>Direccion General</t>
  </si>
  <si>
    <t>Rodolfo.montoya@mbg.org.mx</t>
  </si>
  <si>
    <t>FIRMAS AUTORIZADAS\M018 MRO BUSSINS.pdf</t>
  </si>
  <si>
    <t>PRIVARSA</t>
  </si>
  <si>
    <t>Rodriguez santillan Cruz Alicia</t>
  </si>
  <si>
    <t>jefe de Recursos Humanos</t>
  </si>
  <si>
    <t>8183331199 ext. 150</t>
  </si>
  <si>
    <t>arodriguez@privarsa.com.mx</t>
  </si>
  <si>
    <t>Coordinador de Servicio Social y practicas profesionales</t>
  </si>
  <si>
    <t>Gomez Rodriguez Brenda Berenice</t>
  </si>
  <si>
    <t>Lider de personal y comunicación interna</t>
  </si>
  <si>
    <t>8183331199 ext. 151</t>
  </si>
  <si>
    <t>bgomez@privarsa.com.mx</t>
  </si>
  <si>
    <t>TALLERES BARRERA</t>
  </si>
  <si>
    <t>Estrada Luna Samuel</t>
  </si>
  <si>
    <t>samuel_luna97@hotmail.com</t>
  </si>
  <si>
    <t>Solis Reyna Guadalupe Maythe</t>
  </si>
  <si>
    <t>Directora de administracion y finanzas</t>
  </si>
  <si>
    <t>barrera@talleresbarrera.com</t>
  </si>
  <si>
    <t>Rodriguez Quezada Maria Guadalupe</t>
  </si>
  <si>
    <t>Directora de operaciones</t>
  </si>
  <si>
    <t>compras@talleresbarrera.com</t>
  </si>
  <si>
    <t>VESUVIUS</t>
  </si>
  <si>
    <t>Garza Espinoza Cesar Homero</t>
  </si>
  <si>
    <t>cesargarza@vesuvius.com</t>
  </si>
  <si>
    <t>Mendez Celestino Jose Juan</t>
  </si>
  <si>
    <t>HR Specialist</t>
  </si>
  <si>
    <t>Jose.J.Mendez@vesuvius.com</t>
  </si>
  <si>
    <t>Arambula Martinez Ana Cristina</t>
  </si>
  <si>
    <t>Gerende RH</t>
  </si>
  <si>
    <t>ana.arambula@vesuvius.com</t>
  </si>
  <si>
    <t>Biosinsa</t>
  </si>
  <si>
    <t>Chavez Tapia Cinthya Michel</t>
  </si>
  <si>
    <t>8183587310 ext. 7314</t>
  </si>
  <si>
    <t>recursoshumanos@biosinsa.com</t>
  </si>
  <si>
    <t>Aldana Gonzales Luis Abel</t>
  </si>
  <si>
    <t>Coordinador Fiscal</t>
  </si>
  <si>
    <t>8183587310 etx.7308</t>
  </si>
  <si>
    <t>laldana@biosina.com.mx</t>
  </si>
  <si>
    <t>Lozano Carreon Monica Yulissa</t>
  </si>
  <si>
    <t>Coordinador de Recursos Humanos</t>
  </si>
  <si>
    <t>8183587310 ext.7303</t>
  </si>
  <si>
    <t>Auxrh2@biosinsa.com</t>
  </si>
  <si>
    <t>03 de Junio de 2026</t>
  </si>
  <si>
    <t>SERVICIOS GASOLINEROS OXXO</t>
  </si>
  <si>
    <t>Gonzales Becerra Cesia Anais</t>
  </si>
  <si>
    <t>Coordinador de Reclutaimento nacional</t>
  </si>
  <si>
    <t>cesia.gonzales@oxxogas.com</t>
  </si>
  <si>
    <t>FIRMAS AUTORIZADAS\S022 SERVICIOS GASOLINEROS OXXO.pdf</t>
  </si>
  <si>
    <t>FIRMAS AUTORIZADAS\B011 BIOSINSA.pdf</t>
  </si>
  <si>
    <t>BF CONSULTORES SC</t>
  </si>
  <si>
    <t>Cruz Castro Juan carlos</t>
  </si>
  <si>
    <t>juancarlos.cruz@bfconsultores.com.mx</t>
  </si>
  <si>
    <t>Ramirez Caballero Blanca Sarahi</t>
  </si>
  <si>
    <t>sarahi.c@bfconsultores.com.mx</t>
  </si>
  <si>
    <t>FIRMAS AUTORIZADAS\B012 BF CONSULTORES SC.pdf</t>
  </si>
  <si>
    <t>OXXO</t>
  </si>
  <si>
    <t>Montoya Medrano Angela Vanessa</t>
  </si>
  <si>
    <t>Analista Administracion de Personal</t>
  </si>
  <si>
    <t>vanessa.montoya@oxxo.com</t>
  </si>
  <si>
    <t>FIRMAS AUTORIZADAS\O005 OXXO.pdf</t>
  </si>
  <si>
    <t>SALAS SALAZAR Y ASOCIADOS</t>
  </si>
  <si>
    <t>Salas Hernandez Mauro</t>
  </si>
  <si>
    <t>Socio Director</t>
  </si>
  <si>
    <t>msalas@salassalazarasoc.com</t>
  </si>
  <si>
    <t>Salazar Mauricio Gabriela</t>
  </si>
  <si>
    <t>contacto@salassalazarasoc.com</t>
  </si>
  <si>
    <t>FIRMAS AUTORIZADAS\S023 SALAS SALAZAR Y ASOCIADOS.pdf</t>
  </si>
  <si>
    <t>FIRMAS AUTORIZADAS\T016 TALLERES BARRERA.pdf</t>
  </si>
  <si>
    <t>FIRMAS AUTORIZADAS\A021 ABB INSTALLATION PRODUCTS MONTERREY.pdf</t>
  </si>
  <si>
    <t>FIRMAS AUTORIZADAS\A022 Ac Pollo del Centro.pdf</t>
  </si>
  <si>
    <t>FIRMAS AUTORIZADAS\B008 BACYF.pdf</t>
  </si>
  <si>
    <t>FIRMAS AUTORIZADAS\B009 BM Asesoría.pdf</t>
  </si>
  <si>
    <t>FIRMAS AUTORIZADAS\B010 BYA  Limpieza y Mantenimiento Industrial.pdf</t>
  </si>
  <si>
    <t>FIRMAS AUTORIZADAS\C031 CAPETILLO ASESORES, S.C..pdf</t>
  </si>
  <si>
    <t>FIRMAS AUTORIZADAS\C032 CARRIER.pdf</t>
  </si>
  <si>
    <t>FIRMAS AUTORIZADAS\C033 CEMEX.pdf</t>
  </si>
  <si>
    <t>FIRMAS AUTORIZADAS\C034 Cold Jet Latinoamerica S de RL de CV.pdf</t>
  </si>
  <si>
    <t>FIRMAS AUTORIZADAS\C035 CONCORD PACKAGING.pdf</t>
  </si>
  <si>
    <t>FIRMAS AUTORIZADAS\C036 Crediclub.pdf</t>
  </si>
  <si>
    <t>FIRMAS AUTORIZADAS\C037 Chavarria Esquivel y Asociados SC..pdf</t>
  </si>
  <si>
    <t>FIRMAS AUTORIZADAS\E006 EMERMEX S.A DE C.V.pdf</t>
  </si>
  <si>
    <t>FIRMAS AUTORIZADAS\E007 ESAB.pdf</t>
  </si>
  <si>
    <t>FIRMAS AUTORIZADAS\E008 Estrategias y Asesores en Seguridad Social SA de CV.pdf</t>
  </si>
  <si>
    <t>FIRMAS AUTORIZADAS\F007 Facultad de Ingeniería Mecánica y Eléctrica- UANL.pdf</t>
  </si>
  <si>
    <t>FIRMAS AUTORIZADAS\F008 FOD.PDF</t>
  </si>
  <si>
    <t>FIRMAS AUTORIZADAS\G007 GARCÍA &amp; ASOCIADOS.pdf</t>
  </si>
  <si>
    <t>FIRMAS AUTORIZADAS\G008 Gestión Mercantil Interactiva.pdf</t>
  </si>
  <si>
    <t>FIRMAS AUTORIZADAS\G009 GNC.pdf</t>
  </si>
  <si>
    <t>FIRMAS AUTORIZADAS\G010 Grabados Monterrey.pdf</t>
  </si>
  <si>
    <t>FIRMAS AUTORIZADAS\G011 GRUPO COMWOR.pdf</t>
  </si>
  <si>
    <t>FIRMAS AUTORIZADAS\G015 Grupo Heineken.pdf</t>
  </si>
  <si>
    <t>FIRMAS AUTORIZADAS\J002 JICA CONTADORES.pdf</t>
  </si>
  <si>
    <t>FIRMAS AUTORIZADAS\J003 John Deere.pdf</t>
  </si>
  <si>
    <t>FIRMAS AUTORIZADAS\J004 Jose Alfredo Pedraza Carrillo - Despacho Fiscal Carrillo y Asociados.pdf</t>
  </si>
  <si>
    <t>FIRMAS AUTORIZADAS\J005 JOSE ARTURO MOCTEZUMA MALDONADO-DESPACHO CONTABLE.pdf</t>
  </si>
  <si>
    <t>FIRMAS AUTORIZADAS\K002 KIA Cleber.pdf</t>
  </si>
  <si>
    <t>FIRMAS AUTORIZADAS\L002 Lámina Desplegada SA de CV.pdf</t>
  </si>
  <si>
    <t>FIRMAS AUTORIZADAS\L004 Logrand Entertainment Group..pdf</t>
  </si>
  <si>
    <t>FIRMAS AUTORIZADAS\L005 Lopez Oria y Asociados.pdf</t>
  </si>
  <si>
    <t>FIRMAS AUTORIZADAS\L006 Lubricantes de America S.A de C.V.pdf</t>
  </si>
  <si>
    <t>FIRMAS AUTORIZADAS\M013 MC MARQUEZ CONTADORES.pdf</t>
  </si>
  <si>
    <t>FIRMAS AUTORIZADAS\M014 MARAHON ELECTRIC MANUFACTURING OF MEXICO.pdf</t>
  </si>
  <si>
    <t>FIRMAS AUTORIZADAS\M016 Municipio de General Escobedo.pdf</t>
  </si>
  <si>
    <t>FIRMAS AUTORIZADAS\N003 NEMAK.pdf</t>
  </si>
  <si>
    <t>FIRMAS AUTORIZADAS\N004 NIRA TRANSPORTES.pdf</t>
  </si>
  <si>
    <t>FIRMAS AUTORIZADAS\N005 NISSAN-Linares.pdf</t>
  </si>
  <si>
    <t>FIRMAS AUTORIZADAS\O004 ONCARE.pdf</t>
  </si>
  <si>
    <t>FIRMAS AUTORIZADAS\P010 PASTELERIA EMMANUEL.pdf</t>
  </si>
  <si>
    <t>FIRMAS AUTORIZADAS\P011 PEREZ &amp; VERASTEGUI Y ASOCIADOS.pdf</t>
  </si>
  <si>
    <t>FIRMAS AUTORIZADAS\P012 POZIK &amp; SINPLEA DEKO.pdf</t>
  </si>
  <si>
    <t>FIRMAS AUTORIZADAS\P013 PRACTICA LEGAL Y FISCAL.pdf</t>
  </si>
  <si>
    <t>FIRMAS AUTORIZADAS\P014 Preparatoria 5 UANL.pdf</t>
  </si>
  <si>
    <t>FIRMAS AUTORIZADAS\P015 PROVEDOR DE DULCES Y DESECHABLES.pdf</t>
  </si>
  <si>
    <t>FIRMAS AUTORIZADAS\Q001 QUALTIA.pdf</t>
  </si>
  <si>
    <t>FIRMAS AUTORIZADAS\Q003 Quality Steel.pdf</t>
  </si>
  <si>
    <t>FIRMAS AUTORIZADAS\Q004 QUINTERO CASTILLO Y ASOCIADOS.pdf</t>
  </si>
  <si>
    <t>FIRMAS AUTORIZADAS\R005 RECONSTRUCTORA DIAZ.pdf</t>
  </si>
  <si>
    <t>FIRMAS AUTORIZADAS\R006 Recontructora Díaz.pdf</t>
  </si>
  <si>
    <t>FIRMAS AUTORIZADAS\R007 REZNOR.pdf</t>
  </si>
  <si>
    <t>FIRMAS AUTORIZADAS\R008 RED GIRASOL SAPI.pdf</t>
  </si>
  <si>
    <t>FIRMAS AUTORIZADAS\R009 RP Soluciones.pdf</t>
  </si>
  <si>
    <t>FIRMAS AUTORIZADAS\R010 RUSSELL BEDFORD.pdf</t>
  </si>
  <si>
    <t>FIRMAS AUTORIZADAS\S013 Sagastra, S.C..pdf</t>
  </si>
  <si>
    <t>FIRMAS AUTORIZADAS\S014 SERVICIOS DE LIMPIEZA DE INMUEBLES WCYS.pdf</t>
  </si>
  <si>
    <t>FIRMAS AUTORIZADAS\S015 SIMEPRODE.pdf</t>
  </si>
  <si>
    <t>FIRMAS AUTORIZADAS\S016 SMITHERS-OASIS DE MEXICO.pdf</t>
  </si>
  <si>
    <t>FIRMAS AUTORIZADAS\S017 SOCIO EN ÁREA CONTABLE Y FISCAL.pdf</t>
  </si>
  <si>
    <t>FIRMAS AUTORIZADAS\S018 SODISA-Soport Logistico en Distribución SA de CV.pdf</t>
  </si>
  <si>
    <t>FIRMAS AUTORIZADAS\S019 SOLISTICA.pdf</t>
  </si>
  <si>
    <t>FIRMAS AUTORIZADAS\S020 SOLUCIONES ACTUALES CONTABLES Y FISCALES, SC.pdf</t>
  </si>
  <si>
    <t>FIRMAS AUTORIZADAS\T013 Technochairs.pdf</t>
  </si>
  <si>
    <t>FIRMAS AUTORIZADAS\T014 TEMPEL.pdf</t>
  </si>
  <si>
    <t>FIRMAS AUTORIZADAS\U002 ULINE INES_merged.pdf</t>
  </si>
  <si>
    <t>FIRMAS AUTORIZADAS\V009 VIAKABLE.pdf</t>
  </si>
  <si>
    <t>FIRMAS AUTORIZADAS\V010 VVICE ENTERPRISE SOLUTIONS.pdf</t>
  </si>
  <si>
    <t>FIRMAS AUTORIZADAS\V011 VICE.pdf</t>
  </si>
  <si>
    <t>FIRMAS AUTORIZADAS\V012 VIKINGOS EVENTOS.pdf</t>
  </si>
  <si>
    <t>FIRMAS AUTORIZADAS\V013 Vitau Medical.pdf</t>
  </si>
  <si>
    <t>FIRMAS AUTORIZADAS\V014 Vesuvius México S.A. de C.V..pdf</t>
  </si>
  <si>
    <t>FIRMAS AUTORIZADAS\W003 WHIRLPOOL MEXICO S RL DE CV.pdf</t>
  </si>
  <si>
    <t>27 de Mayo</t>
  </si>
  <si>
    <t>FIRMAS AUTORIZADAS\E009 El Texano.pdf</t>
  </si>
  <si>
    <t>HEINEKEN</t>
  </si>
  <si>
    <t>Melendez Ortiz Andrea Montserrat</t>
  </si>
  <si>
    <t>Talent Acquisition Coordinator</t>
  </si>
  <si>
    <t>andrea.melendez@heineken.com</t>
  </si>
  <si>
    <t>FIRMAS AUTORIZADAS\H010 HEINEKEN.pdf</t>
  </si>
  <si>
    <t>KAYAKU SAFTY SYSTEMS DE MÉXICO</t>
  </si>
  <si>
    <t>Maruyama junya</t>
  </si>
  <si>
    <t>Ruiz Pacheco Axel Noel</t>
  </si>
  <si>
    <t>Analista de Reclutamiento y Capacitacion</t>
  </si>
  <si>
    <t>axel.ruiz@ksmexico.com.mx</t>
  </si>
  <si>
    <t>FIRMAS AUTORIZADAS\K004 KAYAKU SAFTY SYSTEMS DE MÉXICO.pdf</t>
  </si>
  <si>
    <t>06 de Mayo de 2026</t>
  </si>
  <si>
    <t>F1RST LAN</t>
  </si>
  <si>
    <t>Chantaca Lopez Jose Andres</t>
  </si>
  <si>
    <t>Coordinador RRHH</t>
  </si>
  <si>
    <t xml:space="preserve">capitalhumano@1stlan.com.mx </t>
  </si>
  <si>
    <t>FIRMAS AUTORIZADAS\F012 1ST LAN.pdf</t>
  </si>
  <si>
    <t>Software AJ</t>
  </si>
  <si>
    <t>Hernandez Costilla Juventino</t>
  </si>
  <si>
    <t>juventino@ssaj.com.mx</t>
  </si>
  <si>
    <t>FIRMAS AUTORIZADAS\S024 Sofware Aj.pdf</t>
  </si>
  <si>
    <t>2 de Junio de 2026</t>
  </si>
  <si>
    <t>Coordinador de Reclutamiento Corporativo</t>
  </si>
  <si>
    <t>Garcia Aguilar Adriana</t>
  </si>
  <si>
    <t>Securitas</t>
  </si>
  <si>
    <t>adriana.garcia@securitas.com.mx</t>
  </si>
  <si>
    <t>Chavez Guillen Marta Eunice</t>
  </si>
  <si>
    <t>Coordinador de Reclutamioento Corporativo</t>
  </si>
  <si>
    <t>marta.chavez@securitas.com.mx</t>
  </si>
  <si>
    <t>FIRMAS AUTORIZADAS\S025 SECURITAS.pdf</t>
  </si>
  <si>
    <t xml:space="preserve">alrocha65@hotmail.com </t>
  </si>
  <si>
    <t>Ahumada sanchez Arnulfo Luis</t>
  </si>
  <si>
    <t>Director de Capital Humano</t>
  </si>
  <si>
    <t>81503500 etx 7329</t>
  </si>
  <si>
    <t>arnulfo.ahumada@grupogp.com.mx</t>
  </si>
  <si>
    <t>Vargas Barbosa Karina Beatriz</t>
  </si>
  <si>
    <t>Analista de Administracion del Personal</t>
  </si>
  <si>
    <t>81503500 ext 3514</t>
  </si>
  <si>
    <t>alessandra.cortes@grupogp.com.mx</t>
  </si>
  <si>
    <t>Cortes Martinez Alessandra</t>
  </si>
  <si>
    <t>Auxiliar de Nominas</t>
  </si>
  <si>
    <t>81503500 ext 3214</t>
  </si>
  <si>
    <t>Karina.vargas@grupogp.com.mx</t>
  </si>
  <si>
    <t>Torres Lara Armando Guadalupe</t>
  </si>
  <si>
    <t>FIRMAS AUTORIZADAS\T009 TEREX GENIE.pdf</t>
  </si>
  <si>
    <t>Facultad de ciencias biologicas</t>
  </si>
  <si>
    <t>09 de Junio de 2026</t>
  </si>
  <si>
    <t>HOLIDAY INN EXPRESS</t>
  </si>
  <si>
    <t>Gonzales perez Angelica Elena</t>
  </si>
  <si>
    <t>Gerente Desarrollo Humano</t>
  </si>
  <si>
    <t>angelica.gonzales@hotelesmilenium.com</t>
  </si>
  <si>
    <t>FIRMAS AUTORIZADAS\H011 HOLIDAY INN EXPRESS.pdf</t>
  </si>
  <si>
    <t>TECMA</t>
  </si>
  <si>
    <t>Alvarado Contreras Asusena de Jesus</t>
  </si>
  <si>
    <t>Superior de RH</t>
  </si>
  <si>
    <t>Azu-alva98@tecma.com</t>
  </si>
  <si>
    <t>Marquez Garcia Patricia</t>
  </si>
  <si>
    <t>Patricia.Marquez@tecma.com</t>
  </si>
  <si>
    <t>FIRMAS AUTORIZADAS\T016 TECMA.pdf</t>
  </si>
  <si>
    <t>Marmon Keystone</t>
  </si>
  <si>
    <t>10 de Junio de 2026</t>
  </si>
  <si>
    <t xml:space="preserve">Garza del Rio Edgar </t>
  </si>
  <si>
    <t>egarza@marmonkerystone.com.mx</t>
  </si>
  <si>
    <t>Placencia perez Emma Yazmin</t>
  </si>
  <si>
    <t>yplacencia@marmonkeys.com.mx</t>
  </si>
  <si>
    <t>Reynosa Vargas Uriel</t>
  </si>
  <si>
    <t>ureynosa@MARMONKEYSTONE.com</t>
  </si>
  <si>
    <t>FIRMAS AUTORIZADAS\M019 Marmon Keystone.pdf</t>
  </si>
  <si>
    <t>APC011009AXA</t>
  </si>
  <si>
    <t>TBM950726LP2</t>
  </si>
  <si>
    <t>ABB INSTALLATION PRODUCTS MONTERREY</t>
  </si>
  <si>
    <t>AEN200313RP3</t>
  </si>
  <si>
    <t>BAC131129L89</t>
  </si>
  <si>
    <t>BLM890223FH1</t>
  </si>
  <si>
    <t>CES030714R2A</t>
  </si>
  <si>
    <t>CMS051026K6A</t>
  </si>
  <si>
    <t>CAE010831DY8</t>
  </si>
  <si>
    <t>CEA060728AE9</t>
  </si>
  <si>
    <t>CRE050902169</t>
  </si>
  <si>
    <t>CPM030725KD7</t>
  </si>
  <si>
    <t>CJL07021227A</t>
  </si>
  <si>
    <t>CME820101LJ4</t>
  </si>
  <si>
    <t>DBM2309086A0</t>
  </si>
  <si>
    <t>TIN130830TX6</t>
  </si>
  <si>
    <t>EAS050131LW0</t>
  </si>
  <si>
    <t>EMS2103108P3</t>
  </si>
  <si>
    <t>EME8409145T2</t>
  </si>
  <si>
    <t>SLA171003GS3</t>
  </si>
  <si>
    <t>Facultad de ciencias quimicas</t>
  </si>
  <si>
    <t>FME991110CZ9</t>
  </si>
  <si>
    <t>GLO121030MB9</t>
  </si>
  <si>
    <t>GCO140206141</t>
  </si>
  <si>
    <t>GMO860514812</t>
  </si>
  <si>
    <t>GAA0008167Z3</t>
  </si>
  <si>
    <t>HAS971114LE6</t>
  </si>
  <si>
    <t>HDM140905BE8</t>
  </si>
  <si>
    <t>IRL0510144F6</t>
  </si>
  <si>
    <t>CJA961219KJ0</t>
  </si>
  <si>
    <t>STJ970415R68</t>
  </si>
  <si>
    <t>JP&amp;000410CN7</t>
  </si>
  <si>
    <t>MOMA760408838</t>
  </si>
  <si>
    <t>FODA9901279F9</t>
  </si>
  <si>
    <t>KSS070523JB1</t>
  </si>
  <si>
    <t>LAM951127KF6</t>
  </si>
  <si>
    <t>LOA060906FN6</t>
  </si>
  <si>
    <t>MKM951108RW6</t>
  </si>
  <si>
    <t>MSA160628U13</t>
  </si>
  <si>
    <t>MMO190911FV6</t>
  </si>
  <si>
    <t>MEM060209TX2</t>
  </si>
  <si>
    <t>MCO160315T97</t>
  </si>
  <si>
    <t>MPM040202LM9</t>
  </si>
  <si>
    <t>MMA161206443</t>
  </si>
  <si>
    <t>NTR240606DN0</t>
  </si>
  <si>
    <t>NEM790312D81</t>
  </si>
  <si>
    <t>CCO8605231N4</t>
  </si>
  <si>
    <t>PAR9708223D9</t>
  </si>
  <si>
    <t>PLF1805111S6</t>
  </si>
  <si>
    <t>PAS260109HH0</t>
  </si>
  <si>
    <t>PAV0703164V6</t>
  </si>
  <si>
    <t>PEM200525SI7</t>
  </si>
  <si>
    <t>QAO0805091HA</t>
  </si>
  <si>
    <t>MIR1805042Q6</t>
  </si>
  <si>
    <t>RTE0502082QA</t>
  </si>
  <si>
    <t>RBM060111493</t>
  </si>
  <si>
    <t>RGI160414TR9</t>
  </si>
  <si>
    <t>RDI8702064H3</t>
  </si>
  <si>
    <t>GSM930817U48</t>
  </si>
  <si>
    <t>SSA120720LT4</t>
  </si>
  <si>
    <t>FLO970101R10</t>
  </si>
  <si>
    <t>SOM910507LP9</t>
  </si>
  <si>
    <t>SIM870529CA0</t>
  </si>
  <si>
    <t>GIS100219KK8</t>
  </si>
  <si>
    <t>CCI060609TH7</t>
  </si>
  <si>
    <t>SR&amp;061229V17</t>
  </si>
  <si>
    <t>TBA7504018B4</t>
  </si>
  <si>
    <t>TME961105KB7</t>
  </si>
  <si>
    <t>TEC110509BR0</t>
  </si>
  <si>
    <t>TME000629TT8</t>
  </si>
  <si>
    <t>USS000718PA0</t>
  </si>
  <si>
    <t>VME651207490</t>
  </si>
  <si>
    <t>VME190206PK3</t>
  </si>
  <si>
    <t>VES2405303W6</t>
  </si>
  <si>
    <t>VICE ENTERPRISE SOLUTIONS</t>
  </si>
  <si>
    <t>VVM200921JN2</t>
  </si>
  <si>
    <t>XC08301044M7</t>
  </si>
  <si>
    <t>11 de Junio de 2026</t>
  </si>
  <si>
    <t>COEMSA Montacargas</t>
  </si>
  <si>
    <t>Villegas Puente Braian Alejandro</t>
  </si>
  <si>
    <t>Flores Sanchez Artemio</t>
  </si>
  <si>
    <t xml:space="preserve">Direccion </t>
  </si>
  <si>
    <t>admin@montacargasservicios.com</t>
  </si>
  <si>
    <t>Hernandez Benavides Sergio Israel</t>
  </si>
  <si>
    <t>Gerencia</t>
  </si>
  <si>
    <t>servicios@coemsa.com</t>
  </si>
  <si>
    <t>FIRMAS AUTORIZADAS\C043 COEMSA Montacargas.pdf</t>
  </si>
  <si>
    <t>MME981209QY7</t>
  </si>
  <si>
    <t>BDE030612K56</t>
  </si>
  <si>
    <t>BMO0210165P8</t>
  </si>
  <si>
    <t>SEA110527BQA</t>
  </si>
  <si>
    <t>CAR070815NN6</t>
  </si>
  <si>
    <t>EWL2001286P6</t>
  </si>
  <si>
    <t>WME8709287L5</t>
  </si>
  <si>
    <t>WLA210301HY9</t>
  </si>
  <si>
    <t>UTM010711E2A</t>
  </si>
  <si>
    <t>TLT201012GV7</t>
  </si>
  <si>
    <t>SGM950714DC2</t>
  </si>
  <si>
    <t>SAG2408271G6</t>
  </si>
  <si>
    <t>QCA0404023M1</t>
  </si>
  <si>
    <t>PIV920601SJ0</t>
  </si>
  <si>
    <t>PDD031204KL5</t>
  </si>
  <si>
    <t>PDA2009141B1</t>
  </si>
  <si>
    <t>M&amp;V0511159PA</t>
  </si>
  <si>
    <t>JCO1604228X5</t>
  </si>
  <si>
    <t>ICM1906076Y5</t>
  </si>
  <si>
    <t>IEJ031009K92</t>
  </si>
  <si>
    <t>Instituto Estatal de la Juventud</t>
  </si>
  <si>
    <t>CCM010710UU1</t>
  </si>
  <si>
    <t>SIS130904QH5</t>
  </si>
  <si>
    <t>DT10508224S8</t>
  </si>
  <si>
    <t>GMI220105B27</t>
  </si>
  <si>
    <t>AEC970528NT8</t>
  </si>
  <si>
    <t>BFB171025E53</t>
  </si>
  <si>
    <t>PFC981202TP5</t>
  </si>
  <si>
    <t>BSI970110CM2</t>
  </si>
  <si>
    <t>DJB850527F30</t>
  </si>
  <si>
    <t>LLE0810226T5</t>
  </si>
  <si>
    <t>ALE1206125Q7</t>
  </si>
  <si>
    <t>BCS210216FZ2</t>
  </si>
  <si>
    <t>CSS131101CL2</t>
  </si>
  <si>
    <t>CIC0402107N8</t>
  </si>
  <si>
    <t>CMM920924K74</t>
  </si>
  <si>
    <t>FULTRA</t>
  </si>
  <si>
    <t>SFU180806AV8</t>
  </si>
  <si>
    <t>IRS DE MEXICO SA DE CV</t>
  </si>
  <si>
    <t>Ramirez Macías Luis Angel</t>
  </si>
  <si>
    <t>Luis.ramirez@irsdemexico.com.mc</t>
  </si>
  <si>
    <t>Flores Del Rio Viridiana</t>
  </si>
  <si>
    <t>Viridiana.flores@irsdemexico.com.mx</t>
  </si>
  <si>
    <t>Alejandro Vaquera Karina Elizabeth</t>
  </si>
  <si>
    <t>Coordinadora de fiananzas</t>
  </si>
  <si>
    <t>Karina.alejandro@irsdemexico.com.mx</t>
  </si>
  <si>
    <t xml:space="preserve">Director de RH </t>
  </si>
  <si>
    <t>FIRMAS AUTORIZADAS\IRS DE MEXICO SA DE CV.pdf</t>
  </si>
  <si>
    <t>LAURA HERCILIA SALINAS TREVIÑO-GRUPO RC</t>
  </si>
  <si>
    <t>SISTEMAS Y COMBUSTIBLE PARA IMPRESIONA- SISCOPRINT, S.A. DE C.V.</t>
  </si>
  <si>
    <t>Carrillo Meza Luis Uriel</t>
  </si>
  <si>
    <t>luisuriel@siscoprint.com</t>
  </si>
  <si>
    <t>Cepeda Obregon Josue Daniel</t>
  </si>
  <si>
    <t>Gerente De Finanzas</t>
  </si>
  <si>
    <t>contabilidad@siscoprint.com</t>
  </si>
  <si>
    <t>Flores Quevedo Cruz Francisca</t>
  </si>
  <si>
    <t>RH</t>
  </si>
  <si>
    <t>admin5@siscoprint.mx</t>
  </si>
  <si>
    <t>FIRMAS AUTORIZADAS\SISTEMAS Y COMBUSTIBLE PARA IMPRESIONA- SISCOPRINT, S.A. DE C.V..pdf</t>
  </si>
  <si>
    <t>FIRMAS AUTORIZADAS\L003 LAURA HERCILIA SALINAS TREVIÑO-GRUPO RC.pdf</t>
  </si>
  <si>
    <t>SIS130325DTA</t>
  </si>
  <si>
    <t>PANEL REY</t>
  </si>
  <si>
    <t xml:space="preserve">Velázquez Zapata Carlos Augusto </t>
  </si>
  <si>
    <t>Director Jurídico</t>
  </si>
  <si>
    <t>cvelazquezz@gpromax.com</t>
  </si>
  <si>
    <t>FIRMAS AUTORIZADAS\PANEL REY.pdf</t>
  </si>
  <si>
    <t>PRM070627QT3</t>
  </si>
  <si>
    <t>SERVICIOS ADMINISTRATIVOS FISCALES CONTABLES Y JURIDICOS</t>
  </si>
  <si>
    <t>14 de Julio de 2026</t>
  </si>
  <si>
    <t>Heredia Saldaña Rene</t>
  </si>
  <si>
    <t>contable.safcyj@gmail.com</t>
  </si>
  <si>
    <t>FIRMAS AUTORIZADAS\SERVICIOS ADMINISTRATIVOS FISCALES CONTABLES Y JURIDICOS.pdf</t>
  </si>
  <si>
    <t>Cometa Lab S.A. de C.V. - CAFE UNAMUNO</t>
  </si>
  <si>
    <t>Preparatoria Alvaro Obregón Unidad Linares</t>
  </si>
  <si>
    <t>FIRMAS AUTORIZADAS\P009 Preparatoria Alvaro Obregón Unidad Linares.pdf</t>
  </si>
  <si>
    <t>ALCORE INGENIEROS</t>
  </si>
  <si>
    <t>Cortéz Cepeda Luis Eduardo</t>
  </si>
  <si>
    <t>Director de Operaciones</t>
  </si>
  <si>
    <t>lcortez@alcoreingenieros.com</t>
  </si>
  <si>
    <t>Gutierrez Torres Brenda Elizabeth</t>
  </si>
  <si>
    <t>elizabethg@alcoreingenieros.com</t>
  </si>
  <si>
    <t>Salinas Cabrera Pauline Edith</t>
  </si>
  <si>
    <t>psalinas@alcoreingenieros.com</t>
  </si>
  <si>
    <t>FIRMAS AUTORIZADAS\A024 ALCORE INGENIEROS.pdf</t>
  </si>
  <si>
    <t>15 de Julio de 2026</t>
  </si>
  <si>
    <t>ATTENDO</t>
  </si>
  <si>
    <t>Suarez Cruz Aida</t>
  </si>
  <si>
    <t>Lara Banda Cesar Adrian</t>
  </si>
  <si>
    <t>Coordinador de reclutamiento y selección</t>
  </si>
  <si>
    <t>celara@attendo.com.mx</t>
  </si>
  <si>
    <t>García Tiscareño Karina</t>
  </si>
  <si>
    <t>kgarcia@attendo.com.mx</t>
  </si>
  <si>
    <t>Perez Ortega Diana Ximena</t>
  </si>
  <si>
    <t>Analista de Administración de Personal</t>
  </si>
  <si>
    <t>dperez@attendo.com.mx</t>
  </si>
  <si>
    <t>ASC070927KX4</t>
  </si>
  <si>
    <t>FIRMAS AUTORIZADAS\A025 ATTENDO.pdf</t>
  </si>
  <si>
    <t>19 de Mayo 2026</t>
  </si>
  <si>
    <t>Morales Elías José Francisco</t>
  </si>
  <si>
    <t>Socio Consultor</t>
  </si>
  <si>
    <t>Francisco.morales@dma.com.mx</t>
  </si>
  <si>
    <t>Miramda Ramírez María Sonia</t>
  </si>
  <si>
    <t>Dma.auxiliar1@gmail.com</t>
  </si>
  <si>
    <t>FIRMAS AUTORIZADAS\D021 Daniel Moreno y Asociados SC.pdf</t>
  </si>
  <si>
    <t>SOPORTE GENERAL SA DE CV</t>
  </si>
  <si>
    <t>Loera Navarro Janelly Andrea</t>
  </si>
  <si>
    <t>jloeran@soporteg.com</t>
  </si>
  <si>
    <t>Auxiliar de Desarrollo Humano</t>
  </si>
  <si>
    <t>Gerente de Cultura y Desarrollo Organizacional</t>
  </si>
  <si>
    <t>cgonzalezg@aquor.com</t>
  </si>
  <si>
    <t>Gonzalez De la Garza Cynthia Denisse</t>
  </si>
  <si>
    <t>Castillo Hastings Lorenzo</t>
  </si>
  <si>
    <t>Gerente de Contabilidad Impuestos y Nómina</t>
  </si>
  <si>
    <t>lcastillo@soporteg.com</t>
  </si>
  <si>
    <t>FIRMAS AUTORIZADAS\S028 SOPORTE GENERAL SA DE CV.pdf</t>
  </si>
  <si>
    <t>SIGMA ALIMENTOS CORPORATIVO</t>
  </si>
  <si>
    <t>SAC991222G1A</t>
  </si>
  <si>
    <t>Segura Rivera Humberto</t>
  </si>
  <si>
    <t>hsegura@sigma-alimentos.com</t>
  </si>
  <si>
    <t>Rivera Morales Sofia Miranda</t>
  </si>
  <si>
    <t>Talent Acquisition Controller</t>
  </si>
  <si>
    <t>sriveram@sigma-alimentos.com</t>
  </si>
  <si>
    <t>Moreno Gonzalez Krizia Carina</t>
  </si>
  <si>
    <t>Talent Acquisition &amp; Development</t>
  </si>
  <si>
    <t>kmorenog@sigma-alimentos.com</t>
  </si>
  <si>
    <t>FIRMAS AUTORIZADAS\S029 SIGMA ALIMENTOS CORPORATIVO.pdf</t>
  </si>
  <si>
    <t>SCANPAINT SERVICIOS ESPECIALIZADOS</t>
  </si>
  <si>
    <t>A950327277</t>
  </si>
  <si>
    <t>Garza Alvarado Bibiana Ylajali</t>
  </si>
  <si>
    <t>Responsable Reclutamiento y Selección</t>
  </si>
  <si>
    <t>Bibiana.garza@scanpaint.com</t>
  </si>
  <si>
    <t>Esquivel Beltran Juan Enrique</t>
  </si>
  <si>
    <t>Coordinador de Desarrollo Organizacional</t>
  </si>
  <si>
    <t>jesquivel@scanpaint.com</t>
  </si>
  <si>
    <t>Caramillo Ortiz Gerardo</t>
  </si>
  <si>
    <t>Cooordinador de Nóminas</t>
  </si>
  <si>
    <t>nominas@scanpaint.com</t>
  </si>
  <si>
    <t>FIRMAS AUTORIZADAS\S030 SCANPAINT SERVICIOS ESPECIALIZADOS.pdf</t>
  </si>
  <si>
    <t>SALTUS LOGISTICS SA DE CV</t>
  </si>
  <si>
    <t>Trujillo Cepeda Aideé Patricia</t>
  </si>
  <si>
    <t>aidee.trujillo@saltuslogistics.com</t>
  </si>
  <si>
    <t>Trujillo Cepea Aideé Patricia</t>
  </si>
  <si>
    <t>anahisamador@saltulogistics.com</t>
  </si>
  <si>
    <t>Amador Avila Anahis</t>
  </si>
  <si>
    <t xml:space="preserve"> Auxiliar de Recursos Humanos</t>
  </si>
  <si>
    <t>Carranza Sanchez Yatziri Itzel</t>
  </si>
  <si>
    <t>rh@saltulogistics.com</t>
  </si>
  <si>
    <t>FIRMAS AUTORIZADAS\S031 SALTUS LOGISTICS SA DE CV.pdf</t>
  </si>
  <si>
    <t>MINERALES NO METÁLICOS DEL NORESTE</t>
  </si>
  <si>
    <t>Gonzalez Olvera Reyes</t>
  </si>
  <si>
    <t>mineralin@gmail.com</t>
  </si>
  <si>
    <t>López Oviedo Estefani</t>
  </si>
  <si>
    <t>Area Contabilidad</t>
  </si>
  <si>
    <t>estefani.lopez@mineralesnometalicosdelnoreste.com.mx</t>
  </si>
  <si>
    <t>M0906037J0</t>
  </si>
  <si>
    <t>FIRMAS AUTORIZADAS\M020 MINERALES NO METÁLICOS DEL NORESTE.pdf</t>
  </si>
  <si>
    <t>MANUEL CAPETILLO HERNANDEZ-CAPETILLO ASEOSRES.</t>
  </si>
  <si>
    <t>Capetillo López Jonathan</t>
  </si>
  <si>
    <t>Esquivel Velázquez Vanessa Michelle</t>
  </si>
  <si>
    <t>Contador público</t>
  </si>
  <si>
    <t>Esquivelvanessa812@gmail.com</t>
  </si>
  <si>
    <t>FIRMAS AUTORIZADAS\M021 MANUEL CAPETILLO HERNANDEZ-CAPETILLO ASEOSRES..pdf</t>
  </si>
  <si>
    <t>HERRAMIENTAS ALMEK SA DE CV</t>
  </si>
  <si>
    <t>L830311URA</t>
  </si>
  <si>
    <t>Garza Mendoza Jose Domingo</t>
  </si>
  <si>
    <t>administracion@almek.com.mx</t>
  </si>
  <si>
    <t>Garza Ramos Jesus Alejo</t>
  </si>
  <si>
    <t>jesusgarza@almek.com.mx</t>
  </si>
  <si>
    <t>FIRMAS AUTORIZADAS\H012 HERRAMIENTAS ALMEK SA DE CV.pdf</t>
  </si>
  <si>
    <t>GENTOR SERVICIOS SA DE CV</t>
  </si>
  <si>
    <t>Directora de Capital Humano</t>
  </si>
  <si>
    <t>mlepri@gentor.com</t>
  </si>
  <si>
    <t>Lepri Lacueva Mercedes</t>
  </si>
  <si>
    <t>Rodriguez de Anda Maryfer</t>
  </si>
  <si>
    <t>HRBP Gestión de Talento</t>
  </si>
  <si>
    <t>mrodriguez@gentor.com</t>
  </si>
  <si>
    <t>Obregón Hernández Blanca Estela</t>
  </si>
  <si>
    <t>Aucciliar de Atracción de Talento</t>
  </si>
  <si>
    <t>bobregon@gentor.com</t>
  </si>
  <si>
    <t>FIRMAS AUTORIZADAS\G019 GENTOR SERVICIOS SA DE CV.pdf</t>
  </si>
  <si>
    <t>FABRICA DE DULCES RAVI SA DE CV</t>
  </si>
  <si>
    <t>R6302015P9</t>
  </si>
  <si>
    <t>Villareal Arredondo Raúl</t>
  </si>
  <si>
    <t>raulvillareal@ravi.com.mx</t>
  </si>
  <si>
    <t>González Hernández Alfonso</t>
  </si>
  <si>
    <t>Contador Genreal</t>
  </si>
  <si>
    <t>contabilidad@ravi.com.mx</t>
  </si>
  <si>
    <t>Revilla Cazares Flor Elizabeth</t>
  </si>
  <si>
    <t>Aux.Contabilidad</t>
  </si>
  <si>
    <t>FIRMAS AUTORIZADAS\F013 FABRICA DE DULCES RAVI SA DE CV.pdf</t>
  </si>
  <si>
    <t>DIEGO IVAN IBARRA ALDANA-BM Asesores</t>
  </si>
  <si>
    <t>25 de Mayo de2026</t>
  </si>
  <si>
    <t>AIB250114G89</t>
  </si>
  <si>
    <t>Ibarra Aldana Diego Ibarra</t>
  </si>
  <si>
    <t>(821)1023727</t>
  </si>
  <si>
    <t>(821)1112015</t>
  </si>
  <si>
    <t>dieibarra28@gmail,com</t>
  </si>
  <si>
    <t>Propietario y Representante Legal</t>
  </si>
  <si>
    <t>Marín Tamez Blanca Beatriz Magdalena</t>
  </si>
  <si>
    <t>Administradora General</t>
  </si>
  <si>
    <t>bmarintamez@gmail.com</t>
  </si>
  <si>
    <t>FIRMAS AUTORIZADAS\D022 DIEGO IVAN IBARRA ALDANA-BM Asesores.pdf</t>
  </si>
  <si>
    <t>VILLALON ALONSO CONTADORES PUBLICOS SC</t>
  </si>
  <si>
    <t>16 de Julio de 2026</t>
  </si>
  <si>
    <t>Villalon Alonso Victor</t>
  </si>
  <si>
    <t>victorvillalonso@hotmail.com</t>
  </si>
  <si>
    <t>Administrador General</t>
  </si>
  <si>
    <t>Villalon Martínez Victor</t>
  </si>
  <si>
    <t>Cp.villalonmtz@hotmail.com</t>
  </si>
  <si>
    <t>FIRMAS AUTORIZADAS\V015 VILLALON ALONSO CONTADORES PUBLICOS SC.pdf</t>
  </si>
  <si>
    <t>GARYLOP RENTAL EQUIPMENT</t>
  </si>
  <si>
    <t>08 de Junio de 2026</t>
  </si>
  <si>
    <t>E150420456</t>
  </si>
  <si>
    <t>Nájera Carrizales María Fernanda</t>
  </si>
  <si>
    <t>recursoshumanos@msgmontacargas.com</t>
  </si>
  <si>
    <t>Pasquel López Julio Cesar</t>
  </si>
  <si>
    <t>Director Operativo</t>
  </si>
  <si>
    <t>jepasquel@garylopequipment.com</t>
  </si>
  <si>
    <t>FIRMAS AUTORIZADAS\G020 GARYLOP RENTAL EQUIPMENT.pdf</t>
  </si>
  <si>
    <t>INDUSTRIAS ELECTRONICAS PACIFICO-Schneider Electric</t>
  </si>
  <si>
    <t>P860206TW7</t>
  </si>
  <si>
    <t>HR Consultant &amp; Anallytics</t>
  </si>
  <si>
    <t>Arrieta Cavazos Ivanarah Alejandra</t>
  </si>
  <si>
    <t>Human Resources Business Partner</t>
  </si>
  <si>
    <t>ivanarah.arrieta@se.com</t>
  </si>
  <si>
    <t>FIRMAS AUTORIZADAS\I014 INDUSTRIAS ELECTRONICAS PACIFICO-Schneider Electric.pdf</t>
  </si>
  <si>
    <t>Quickpak</t>
  </si>
  <si>
    <t>Bernal Perez Hugo Osvaldo</t>
  </si>
  <si>
    <t>hugo.bernal@quickpak.com.mx</t>
  </si>
  <si>
    <t>Santiago Reyes Saraid</t>
  </si>
  <si>
    <t>saraid.santiago@quickpak.com.mx</t>
  </si>
  <si>
    <t>Ejecutivo de Atención a Clientes</t>
  </si>
  <si>
    <t>Escareño Torres Mayra Alejandra</t>
  </si>
  <si>
    <t>operacioneslogisticas@quickpak.com.mx</t>
  </si>
  <si>
    <t>FIRMAS AUTORIZADAS\Q005 Quickpak.pdf</t>
  </si>
  <si>
    <t>FLECOSA SA DE CV</t>
  </si>
  <si>
    <t>Duran Ramirez Laura Lucia</t>
  </si>
  <si>
    <t>Gerente Administración</t>
  </si>
  <si>
    <t>8183140216 Ext. 103</t>
  </si>
  <si>
    <t>gerencia.admon@flecosa.com.mx</t>
  </si>
  <si>
    <t>Uresti Flores Gabriela</t>
  </si>
  <si>
    <t>8183140216 Ext. 124</t>
  </si>
  <si>
    <t>rh@flecosa.com.mx</t>
  </si>
  <si>
    <t>FIRMAS AUTORIZADAS\F014 FLECOSA SA DE CV.pdf</t>
  </si>
  <si>
    <t>LUIS ALBERTO PADRON VEGA-Padron &amp; Villalobos Contadores</t>
  </si>
  <si>
    <t>Rodriguez Padrón Hugo Daniel</t>
  </si>
  <si>
    <t>Rodriguez Padrón Hugo</t>
  </si>
  <si>
    <t>Supervisor</t>
  </si>
  <si>
    <t>hugo@Padronvillalobos.com</t>
  </si>
  <si>
    <t>Martinez Gregorio Nicolas</t>
  </si>
  <si>
    <t>supervisor@padronvillalobos.com</t>
  </si>
  <si>
    <t>Padrón Vega Olga Lydia</t>
  </si>
  <si>
    <t>olgap@padronvillalobos.com</t>
  </si>
  <si>
    <t>FIRMAS AUTORIZADAS\L007 LUIS ALBERTO PADRON VEGA-Padron &amp; Villalobos Contadores.pdf</t>
  </si>
  <si>
    <t>INVERSIONES ARTHA POP-ARTHA POP</t>
  </si>
  <si>
    <t>Lozano Bruster Yazmin Leticia</t>
  </si>
  <si>
    <t>ylozano@popinvestments.com</t>
  </si>
  <si>
    <t>Palmeros Lopez Juan Carlos</t>
  </si>
  <si>
    <t>Gerente Administrativo</t>
  </si>
  <si>
    <t>jpalmeros@popinvestments.com</t>
  </si>
  <si>
    <t>FIRMAS AUTORIZADAS\I015 INVERSIONES ARTHA POP-ARTHA POP.pdf</t>
  </si>
  <si>
    <t>Symrise</t>
  </si>
  <si>
    <t>STYM750430R87</t>
  </si>
  <si>
    <t>Alanis Garza Wendy Marlene</t>
  </si>
  <si>
    <t>HRBP Manager</t>
  </si>
  <si>
    <t>wendy.alanis@symrise.com</t>
  </si>
  <si>
    <t>López Valladares Angélica</t>
  </si>
  <si>
    <t>HR Operations Specialist</t>
  </si>
  <si>
    <t>angelica.lopez@symrise.com</t>
  </si>
  <si>
    <t>Guerrero Rodriguez Lucero Jazmín</t>
  </si>
  <si>
    <t>Talent Adquisition</t>
  </si>
  <si>
    <t>lucero.guerrero@symrise.com</t>
  </si>
  <si>
    <t>FIRMAS AUTORIZADAS\S032 Symrise.pdf</t>
  </si>
  <si>
    <t>EDGAR GUADALUPE QUIROZ SENDEJO-Despacho contable agua viva</t>
  </si>
  <si>
    <t>Quiroz Sendejo Edgar Guadalupe</t>
  </si>
  <si>
    <t>edgarguadalupequirozsendejo@gmail.com</t>
  </si>
  <si>
    <t>Aguirre Quintanilla Alejandra Danaee</t>
  </si>
  <si>
    <t>alejandra.aguirre99@hotmail.com</t>
  </si>
  <si>
    <t>FIRMAS AUTORIZADAS\E010 EDGAR GUADALUPE QUIROZ SENDEJO-Despacho contable agua viva.pdf</t>
  </si>
  <si>
    <t>EVELYN AYDEE GARCIA ALEMAN-GAAE Facturación</t>
  </si>
  <si>
    <t>García Aleman Evelyn Aydee</t>
  </si>
  <si>
    <t>facturaciongaae@gmail.com</t>
  </si>
  <si>
    <t>FIRMAS AUTORIZADAS\E011 EVELYN AYDEE GARCIA ALEMAN-GAAE Facturación.pdf</t>
  </si>
  <si>
    <t>PREH DE MEXICO SA DE CV</t>
  </si>
  <si>
    <t>17 de Julio de 2026</t>
  </si>
  <si>
    <t>Durán Zamora Denisse Arianna</t>
  </si>
  <si>
    <t>denisse.duran@preh.mx</t>
  </si>
  <si>
    <t>FIRMAS AUTORIZADAS\P019 PREH DE MEXICO SA DE CV.pdf</t>
  </si>
  <si>
    <t>COMERCIAL E INDUSTRIAL DE ADITIVOS PARA FUNDICIÓN-cinafunsa</t>
  </si>
  <si>
    <t>A991118LH9</t>
  </si>
  <si>
    <t>de la Cruz Vásquez Noe</t>
  </si>
  <si>
    <t>ndelacruz@cinafunsa.com</t>
  </si>
  <si>
    <t>Gómez Rodríguez Roberto Alejandro</t>
  </si>
  <si>
    <t>rgomez@cinafunsa.com</t>
  </si>
  <si>
    <t>Mendoza de la Torre Rafaela</t>
  </si>
  <si>
    <t>rmendoza@cinafunsa.com</t>
  </si>
  <si>
    <t>FIRMAS AUTORIZADAS\C044 COMERCIAL E INDUSTRIAL DE ADITIVOS PARA FUNDICIÓN-cinafunsa.pdf</t>
  </si>
  <si>
    <t>CYF CONTADORES Y ASESORES S.C.</t>
  </si>
  <si>
    <t>Salas Alanis Miguel Antonio</t>
  </si>
  <si>
    <t>miguel.salas@cyfcontadores.com</t>
  </si>
  <si>
    <t>Carrazco Sanchez Hugo Cesar</t>
  </si>
  <si>
    <t>hugo.carrazco@cyfcontadores.com</t>
  </si>
  <si>
    <t>FIRMAS AUTORIZADAS\C045 CYF CONTADORES Y ASESORES S.C..pdf</t>
  </si>
  <si>
    <t>CHRISTUS-LATAM HUB CENTER OF EXCELLENCE-Christus Excellence</t>
  </si>
  <si>
    <t>Accounting Manager</t>
  </si>
  <si>
    <t>FIRMAS AUTORIZADAS\C046 CHRISTUS-LATAM HUB CENTER OF EXCELLENCE-Christus Excellence.pdf</t>
  </si>
  <si>
    <t>ABSOLUT OPERACION Y MANTENIMIENTO DE GAS-Absolut</t>
  </si>
  <si>
    <t>Peña Mata Jorge Humberto</t>
  </si>
  <si>
    <t>humbreto.mata@absolutoperaciones.com</t>
  </si>
  <si>
    <t>Alvarez Castañeda Claudia Anahi</t>
  </si>
  <si>
    <t>Auxiliar de Nóminas</t>
  </si>
  <si>
    <t>claudia.alvarez@absolutoperaciones.com</t>
  </si>
  <si>
    <t>Perez Cirprez Brayan</t>
  </si>
  <si>
    <t>Ejecutivo Comercial</t>
  </si>
  <si>
    <t>bryan.perez@absolutoperaciones.com</t>
  </si>
  <si>
    <t>FIRMAS AUTORIZADAS\A026 ABSOLUT OPERACION Y MANTENIMIENTO DE GAS-Absolut.pdf</t>
  </si>
  <si>
    <t>HOSPITAL Y SPA CLUB MASCOTA SA DE CV-Club Mascota</t>
  </si>
  <si>
    <t>Vargas Sotelo Rocío</t>
  </si>
  <si>
    <t>Dirección Administrativa</t>
  </si>
  <si>
    <t>rociov06161006@hotmail.com</t>
  </si>
  <si>
    <t>HSC120111MX0</t>
  </si>
  <si>
    <t>GEOPROSPECT SA DE CV</t>
  </si>
  <si>
    <t>GEO9809173U6</t>
  </si>
  <si>
    <t>Marín Solís Juan Daniel</t>
  </si>
  <si>
    <t>geopro98@gmail.com</t>
  </si>
  <si>
    <t>Aguilar Ibarra Ana Karen</t>
  </si>
  <si>
    <t>Jefe de Calidad, Seguridad, Salud y Medio Ambiente</t>
  </si>
  <si>
    <t>anakaren@geoprospect.com.mx</t>
  </si>
  <si>
    <t>FIRMAS AUTORIZADAS\G021 GEOPROSPECT SA DE CV.pdf</t>
  </si>
  <si>
    <t>COMERSA CNC STEEL SA DE CV</t>
  </si>
  <si>
    <t>CCS051123SA3</t>
  </si>
  <si>
    <t>Alvarado Pérez Luis Andrés</t>
  </si>
  <si>
    <t>luis.alvarado@mochs.com.mx</t>
  </si>
  <si>
    <t>FIRMAS AUTORIZADAS\C047 COMERSA CNC STEEL SA DE CV.pdf</t>
  </si>
  <si>
    <t>CP &amp; A SC</t>
  </si>
  <si>
    <t>Bahena Herrera Melissa Fernanda</t>
  </si>
  <si>
    <t>Director RH - Administración</t>
  </si>
  <si>
    <t>Melissa.bahena@cpamty.com</t>
  </si>
  <si>
    <t>Padilla Valdez Carlos Humberto</t>
  </si>
  <si>
    <t>Carlos.padilla@cpamty.com</t>
  </si>
  <si>
    <t>FIRMAS AUTORIZADAS\C048 CP &amp; A SC.pdf</t>
  </si>
  <si>
    <t>DESPACHO TREVIÑO GARZA CONTADORES</t>
  </si>
  <si>
    <t>TEGA731126HJA</t>
  </si>
  <si>
    <t>Hernández Aguilar Mayra Elizabeth</t>
  </si>
  <si>
    <t>Contador Encargado</t>
  </si>
  <si>
    <t>8110876236 Ext. 105</t>
  </si>
  <si>
    <t>aryameliza@hotmail.com</t>
  </si>
  <si>
    <t>Treviño Garza Adrian</t>
  </si>
  <si>
    <t>8110876236 Ext. 106</t>
  </si>
  <si>
    <t>trevinogarzacontadores@hotmail.com</t>
  </si>
  <si>
    <t>FIRMAS AUTORIZADAS\D023 DESPACHO TREVIÑO GARZA CONTADORES.pdf</t>
  </si>
  <si>
    <t>DIOCESIS DE LINARES</t>
  </si>
  <si>
    <t>DLR930629B4A</t>
  </si>
  <si>
    <t>18 de Julio de 2026</t>
  </si>
  <si>
    <t>Anaya García Manuel</t>
  </si>
  <si>
    <t>manaya271066@hotmail.com</t>
  </si>
  <si>
    <t>Tirado Oviedo Roberto Carlos</t>
  </si>
  <si>
    <t>nominaseconomiadiocesana@gmail.com</t>
  </si>
  <si>
    <t>FIRMAS AUTORIZADAS\D024 DIOCESIS DE LINARES.pdf</t>
  </si>
  <si>
    <t>MAQUINAS DIESEL-Madisa Cat</t>
  </si>
  <si>
    <t>MDI931014D37</t>
  </si>
  <si>
    <t>Resendez Torres Alfredo</t>
  </si>
  <si>
    <t>aresendez@madisa.com</t>
  </si>
  <si>
    <t>Izaguirre Silva Iris Itzamar</t>
  </si>
  <si>
    <t>Encargado de Atracción de Talento</t>
  </si>
  <si>
    <t>iizaguirre@madisa.com</t>
  </si>
  <si>
    <t>Treviño Briones Blanca Yareli</t>
  </si>
  <si>
    <t>btrevino@madisa.com</t>
  </si>
  <si>
    <t>FIRMAS AUTORIZADAS\M022 MAQUINAS DIESEL-Madisa Cat.pdf</t>
  </si>
  <si>
    <t>PINTURAS INDUSTRIALES Y AUTOMOTRICES GARCIA-Matriz</t>
  </si>
  <si>
    <t>PIA980324BT2</t>
  </si>
  <si>
    <t>Vizcarra Fuentes Maricela</t>
  </si>
  <si>
    <t>capitalhumano@expertgroup.mx</t>
  </si>
  <si>
    <t>FIRMAS AUTORIZADAS\P020 PINTURAS INDUSTRIALES Y AUTOMOTRICES GARCIA-Matriz.pdf</t>
  </si>
  <si>
    <t>RODRIGUEZ LEAL Y CIA SC</t>
  </si>
  <si>
    <t>RLE790709H51</t>
  </si>
  <si>
    <t>Rodriguez Flores Hector Ivan</t>
  </si>
  <si>
    <t>hector@rodriguezleal.mx</t>
  </si>
  <si>
    <t>Gonzalez Cazares María Guadalupe</t>
  </si>
  <si>
    <t>Recepcionista</t>
  </si>
  <si>
    <t>recepcion@rodriguezleal.mx</t>
  </si>
  <si>
    <t>Rodeiguez Macías Carlos Enrique</t>
  </si>
  <si>
    <t>Auxiliar Contable</t>
  </si>
  <si>
    <t>choilyvecinomo@outlook.com</t>
  </si>
  <si>
    <t>FIRMAS AUTORIZADAS\R013 RODRIGUEZ LEAL Y CIA SC.pdf</t>
  </si>
  <si>
    <t>PORTEO GLOBAL</t>
  </si>
  <si>
    <t>20 de Julio de 2026</t>
  </si>
  <si>
    <t>López García Tania</t>
  </si>
  <si>
    <t>tania@acproyectos.com</t>
  </si>
  <si>
    <t>FIRMAS AUTORIZADAS\P021 PORTEO GLOBAL.pdf</t>
  </si>
  <si>
    <t>KITOV SOPORTE CORPORATIVO</t>
  </si>
  <si>
    <t>KSC110404Q19</t>
  </si>
  <si>
    <t>Guerra Mancillas Alexis</t>
  </si>
  <si>
    <t>alexis.guerra@hotmail.com</t>
  </si>
  <si>
    <t>Tamez Salas Carlos Alejandro</t>
  </si>
  <si>
    <t>kitov.soportezz@gmail.com</t>
  </si>
  <si>
    <t>Sierra Castillo Sergio Humberto</t>
  </si>
  <si>
    <t>Ing. Sistemas</t>
  </si>
  <si>
    <t>sergio.pc.basik@hotmail.com</t>
  </si>
  <si>
    <t>FIRMAS AUTORIZADAS\K005 KITOV SOPORTE CORPORATIVO.pdf</t>
  </si>
  <si>
    <t>SYNDESI RH-Syndesi Talento Humano</t>
  </si>
  <si>
    <t>Torres Mandujano Ervey Leonardo</t>
  </si>
  <si>
    <t>leonardo@syndesi.com.mx</t>
  </si>
  <si>
    <t>FIRMAS AUTORIZADAS\S033 SYNDESI RH-Syndesi Talento Humano.pdf</t>
  </si>
  <si>
    <t>INTEGRINOX SA DE CV</t>
  </si>
  <si>
    <t>INT121108LK7</t>
  </si>
  <si>
    <t>González Zurita Selina Abigail</t>
  </si>
  <si>
    <t>8121220443 / 8119300260</t>
  </si>
  <si>
    <t>gonzalez.selina@integrimox.com.mx</t>
  </si>
  <si>
    <t>FIRMAS AUTORIZADAS\I016 INTEGRINOX SA DE CV.pdf</t>
  </si>
  <si>
    <t>MUNICIPIO DE CADEREYTA JIMENEZ NUEVO LEON-DIF Municipal</t>
  </si>
  <si>
    <t>MCJ8301016R7</t>
  </si>
  <si>
    <t>Calderón García Genaro Nicolás</t>
  </si>
  <si>
    <t>Contralor Municipal</t>
  </si>
  <si>
    <t>contraloria@cadereyta.gob.mx</t>
  </si>
  <si>
    <t>FIRMAS AUTORIZADAS\M023 MUNICIPIO DE CADEREYTA JIMENEZ NUEVO LEON-DIF Municipal.pdf</t>
  </si>
  <si>
    <t>INOAC POLYTEC DE MEXICO SA DE CV</t>
  </si>
  <si>
    <t>IPM941115FC7</t>
  </si>
  <si>
    <t>Sanchez Maldonado Daniel</t>
  </si>
  <si>
    <t>daniel.sanchez@inoacusa.com</t>
  </si>
  <si>
    <t>Arevalo Parra Nayeli</t>
  </si>
  <si>
    <t>Asistente Dirección IPM</t>
  </si>
  <si>
    <t>nayeli.arevalo@inoacusa.com</t>
  </si>
  <si>
    <t>Torres Rivas Natalia</t>
  </si>
  <si>
    <t>Especialista en Atracción de Talento</t>
  </si>
  <si>
    <t>natalia.tirres@inoacusa.com</t>
  </si>
  <si>
    <t>FIRMAS AUTORIZADAS\I017 INOAC POLYTEC DE MEXICO SA DE CV.pdf</t>
  </si>
  <si>
    <t>G&amp;G PROFESSIONAL CARBIDE TOOL</t>
  </si>
  <si>
    <t>GPC9411171X0</t>
  </si>
  <si>
    <t>Gallegos Martinez Karely</t>
  </si>
  <si>
    <t>+52 (81)11333300 Ext. 8101</t>
  </si>
  <si>
    <t>p.desarrollo8@gygcarbide.com</t>
  </si>
  <si>
    <t>Valdéz Macías José Gerardo</t>
  </si>
  <si>
    <t>Mentor Operativo</t>
  </si>
  <si>
    <t>jgvaldezm@icloud.com</t>
  </si>
  <si>
    <t>FIRMAS AUTORIZADAS\G022 G&amp;G PROFESSIONAL CARBIDE TOOL.pdf</t>
  </si>
  <si>
    <t>PARKER BROWNSVILLE SERVICIOS</t>
  </si>
  <si>
    <t>PBS991202F60</t>
  </si>
  <si>
    <t>Sifuentes Ríos María Arcelia</t>
  </si>
  <si>
    <t>Rodriguez Chávez Pablo Ventura</t>
  </si>
  <si>
    <t>MEX Coordinador de RH Sr.</t>
  </si>
  <si>
    <t>pablo.rodriguez2@parker.com</t>
  </si>
  <si>
    <t>Pérez Carreón Anaid</t>
  </si>
  <si>
    <t>anaid.perez@parker.com</t>
  </si>
  <si>
    <t>Valero Martínez Yarethzy Abigail</t>
  </si>
  <si>
    <t>MEX Representante de RH I</t>
  </si>
  <si>
    <t>Yarethzy.Valero@parker.com</t>
  </si>
  <si>
    <t>FIRMAS AUTORIZADAS\P022 PARKER BROWNSVILLE SERVICIOS.pdf</t>
  </si>
  <si>
    <t>PETROCEL TEMEX-alpek polyester</t>
  </si>
  <si>
    <t>PTE9612176CA</t>
  </si>
  <si>
    <t>Casanova del Angel Dulce Rocío</t>
  </si>
  <si>
    <t>Jefe de Nóminas</t>
  </si>
  <si>
    <t>Álvarez Rivera Melissa</t>
  </si>
  <si>
    <t>Coordinador de Desarrollo de Talento</t>
  </si>
  <si>
    <t>+528332292391; Ext. 2391</t>
  </si>
  <si>
    <t>+528332292383; Ext. 2383</t>
  </si>
  <si>
    <t>marivera@alpekpolyester.com</t>
  </si>
  <si>
    <t>de León Delgado Mitzi Yael</t>
  </si>
  <si>
    <t>Analista de Atracción y Retención de Talento</t>
  </si>
  <si>
    <t>mleond@alpekpolyester.com</t>
  </si>
  <si>
    <t>FIRMAS AUTORIZADAS\P023 PETROCEL TEMEX-alpek polyester.pdf</t>
  </si>
  <si>
    <t>PRODUCTORA BV-Productora Bebida Vida</t>
  </si>
  <si>
    <t>PBV181296HW7</t>
  </si>
  <si>
    <t>López Hernández Leslie Lizeth</t>
  </si>
  <si>
    <t>leslie.lopez@bebidaviva.mx</t>
  </si>
  <si>
    <t>Murgía Garcíasagredo Carlos Enrique</t>
  </si>
  <si>
    <t>logistica@bebidaviva.mx</t>
  </si>
  <si>
    <t>FIRMAS AUTORIZADAS\P024 PRODUCTORA BV-Productora Bebida Vida.pdf</t>
  </si>
  <si>
    <t>GLA CI</t>
  </si>
  <si>
    <t>15 de Junio de 2026</t>
  </si>
  <si>
    <t>Rodriguez Contreras Martín</t>
  </si>
  <si>
    <t>martin.7018@hotmail.com</t>
  </si>
  <si>
    <t>Rodriguez Gonzalez Melissa</t>
  </si>
  <si>
    <t>melissa.rdz.1923@gmail.com</t>
  </si>
  <si>
    <t>Lizbeth Hernandez Veronica</t>
  </si>
  <si>
    <t>veronicahdz119@gmail.com</t>
  </si>
  <si>
    <t>FIRMAS AUTORIZADAS\G023 GLA CI.pdf</t>
  </si>
  <si>
    <t>CS ICONN</t>
  </si>
  <si>
    <t>GER0202287U5</t>
  </si>
  <si>
    <t>Elizondo Martínez José Mario</t>
  </si>
  <si>
    <t>(81)81580779</t>
  </si>
  <si>
    <t>Jose.elizondo@iconn.com.mx</t>
  </si>
  <si>
    <t>FIRMAS AUTORIZADAS\C049 CS ICONN.pdf</t>
  </si>
  <si>
    <t>7 ELEVEN MEXICO SA DE CV</t>
  </si>
  <si>
    <t>SEM980701STA</t>
  </si>
  <si>
    <t>Elizondo Martinez José Mario</t>
  </si>
  <si>
    <t>jose.elizondo@iconn.com.mx</t>
  </si>
  <si>
    <t>FIRMAS AUTORIZADAS\E012 7 ELEVEN MEXICO SA DE CV.pdf</t>
  </si>
  <si>
    <t>BANCA AFIRME</t>
  </si>
  <si>
    <t>BAF950102JP5</t>
  </si>
  <si>
    <t>Medina Mederos Delia Cristina</t>
  </si>
  <si>
    <t>Director Atracción y Gestión de Talento</t>
  </si>
  <si>
    <t>8183183900 Ext. 10615</t>
  </si>
  <si>
    <t>delia.medina@afirme.com</t>
  </si>
  <si>
    <t>Chua López Paola Alejandra</t>
  </si>
  <si>
    <t>Subdirector Recursos Humanos</t>
  </si>
  <si>
    <t>8183183900 Ext. 27137</t>
  </si>
  <si>
    <t>paola.chua@afirme.com</t>
  </si>
  <si>
    <t>FIRMAS AUTORIZADAS\B013 BANCA AFIRME.pdf</t>
  </si>
  <si>
    <t>TELINET SA DE CV-Zentius Digital Transformation</t>
  </si>
  <si>
    <t>TEL980721RQ7</t>
  </si>
  <si>
    <t>21 de Julio de 2026</t>
  </si>
  <si>
    <t>Garza Zamora Carlos Clementa</t>
  </si>
  <si>
    <t>Gerente de Operación  y Servicios Administrativos</t>
  </si>
  <si>
    <t>cgarza@zenitus.com</t>
  </si>
  <si>
    <t>FIRMAS AUTORIZADAS\T018 TELINET SA DE CV-Zentius Digital Transformation.pdf</t>
  </si>
  <si>
    <t>AV PROMOTORA-Grupo Acosta Verde</t>
  </si>
  <si>
    <t>APR920221784</t>
  </si>
  <si>
    <t>Gaytán Castro Andrea Isabel</t>
  </si>
  <si>
    <t>Especialista de Atracción de Talento</t>
  </si>
  <si>
    <t>8110019800 Ext. 1174</t>
  </si>
  <si>
    <t>agaytan@grupoav.com</t>
  </si>
  <si>
    <t>FIRMAS AUTORIZADAS\A027 AV PROMOTORA-Grupo Acosta Verde.pdf</t>
  </si>
  <si>
    <t>AGENCIA CUAUHTEMOC DE LINARES, S.A DE C.V</t>
  </si>
  <si>
    <t xml:space="preserve">recursoshumanos@agencialinares.com </t>
  </si>
  <si>
    <t>FIRMAS AUTORIZADAS\A028 AGENCIA CUAUHTEMOC DE LINARES.pdf</t>
  </si>
  <si>
    <t>17  de Julio de 2026</t>
  </si>
  <si>
    <t>MAHLE SHARED SERVICES MEXICO-Centro de servicios compartidos</t>
  </si>
  <si>
    <t>Gamez Leal Angelica Analy</t>
  </si>
  <si>
    <t>Supervisor de Recursos Humanos</t>
  </si>
  <si>
    <t xml:space="preserve">Angelica.gamez@mahle.com </t>
  </si>
  <si>
    <t>Vera Leal Patricia Aurora</t>
  </si>
  <si>
    <t>Employee Relations Partner</t>
  </si>
  <si>
    <t xml:space="preserve">patricia.aurora.vera@mahle.com </t>
  </si>
  <si>
    <t>FIRMAS AUTORIZADAS\M024 MAHLE SHARED SERVICES MEXICO-Centro de servicios compartidos.pdf</t>
  </si>
  <si>
    <t>MUNICIPIO DE APODACA NUEVO LEON-Gobierno Municipal de Apodaca</t>
  </si>
  <si>
    <t>Garcia Ayala Maria Teresa</t>
  </si>
  <si>
    <t>Hernandez Hernandez Francisco Aaron</t>
  </si>
  <si>
    <t>Responsable de Servicio Social y Practicas Profesionales de la oficina ejecutiva del presidente municipal</t>
  </si>
  <si>
    <t>8117722020 Ext. 300</t>
  </si>
  <si>
    <t>ofnaejecutiva@gmail.com</t>
  </si>
  <si>
    <t xml:space="preserve">Anaya Hernandez Cesar Antonio </t>
  </si>
  <si>
    <t>FIRMAS AUTORIZADAS\M025 MUNICIPIO DE APODACA NUEVO LEON-Gobierno Municipal de Apodaca.pdf</t>
  </si>
  <si>
    <t>C051</t>
  </si>
  <si>
    <t>C052</t>
  </si>
  <si>
    <t>C053</t>
  </si>
  <si>
    <t>C054</t>
  </si>
  <si>
    <t>C055</t>
  </si>
  <si>
    <t>C056</t>
  </si>
  <si>
    <t>Lopez Gallo Jazmin</t>
  </si>
  <si>
    <t>Calderon Marin Carlos Rogelio</t>
  </si>
  <si>
    <t>carlos@calderonmarin.com</t>
  </si>
  <si>
    <t>jazmin.lopez@calderonmarin.com</t>
  </si>
  <si>
    <t>Lopez Gallo Jazmin Esmeralda</t>
  </si>
  <si>
    <t>Garza Vazquez Cristina Valeria</t>
  </si>
  <si>
    <t>Senior</t>
  </si>
  <si>
    <t>crista.garza@calderonmarin.com</t>
  </si>
  <si>
    <t>CALDERON &amp; CALDERON BUSINESS CONSULTING</t>
  </si>
  <si>
    <t>FIRMAS AUTORIZADAS\C050 CALDERON &amp; CALDERON BUSINESS CONSULTING.pdf</t>
  </si>
  <si>
    <t>CKT CAPITAL HUMANO-Becarios mx</t>
  </si>
  <si>
    <t>Vazquez Gonzalez Alberto Antonio</t>
  </si>
  <si>
    <t xml:space="preserve">Gerente de Administracion </t>
  </si>
  <si>
    <t>avazquez@becariosmx.com</t>
  </si>
  <si>
    <t>Gomez Bernal Eva Yareli</t>
  </si>
  <si>
    <t xml:space="preserve">Coordinacion de Administracion </t>
  </si>
  <si>
    <t>administracion@becariosmx.com</t>
  </si>
  <si>
    <t>Gutierrez Salazar Alfonso</t>
  </si>
  <si>
    <t>agutierrez@becariosmx.com</t>
  </si>
  <si>
    <t>FIRMAS AUTORIZADAS\C051 CKT CAPITAL HUMANO-Becarios mx.pdf</t>
  </si>
  <si>
    <t>C057</t>
  </si>
  <si>
    <t>A3 SERVICIOS DE TECNOLOGÍA-Sistemas AKUBICA</t>
  </si>
  <si>
    <t>Beltran Moreno Ivone Areli</t>
  </si>
  <si>
    <t>Responsable de RH y Nomina</t>
  </si>
  <si>
    <t>ibeltran@akubica.com</t>
  </si>
  <si>
    <t>Guipsot Mireles Isaac Edgardo</t>
  </si>
  <si>
    <t>Gerente de Administracion y Finanzas</t>
  </si>
  <si>
    <t>iguipsot@akubica.com</t>
  </si>
  <si>
    <t>Aparicio Romero Jazmin Cindy</t>
  </si>
  <si>
    <t xml:space="preserve">Jefatura de Finanzas y Facturacion </t>
  </si>
  <si>
    <t xml:space="preserve">japaricio@akubica.com </t>
  </si>
  <si>
    <t>FIRMAS AUTORIZADAS\A029 A3 SERVICIOS DE TECNOLOGÍA-Sistemas AKUBICA.pdf</t>
  </si>
  <si>
    <t>GRUPO TOKA DE MEXICO SALUD INTEGRAL</t>
  </si>
  <si>
    <t>Brewster García Susana</t>
  </si>
  <si>
    <t>Directora de RH</t>
  </si>
  <si>
    <t xml:space="preserve">susana.brewster@tokasalud.com </t>
  </si>
  <si>
    <t>Rodríguez Rodríguez Jesús Antonio</t>
  </si>
  <si>
    <t>Representante Legal Y Director</t>
  </si>
  <si>
    <t xml:space="preserve">jesus.rodriguez@tokasalud.com </t>
  </si>
  <si>
    <t>FIRMAS AUTORIZADAS\G024 GRUPO TOKA DE MEXICO SALUD INTEGRAL.pdf</t>
  </si>
  <si>
    <t>ENLAK LOGISTICA</t>
  </si>
  <si>
    <t>Campo Martinez Luz E.</t>
  </si>
  <si>
    <t>Martinez Perez Luis David</t>
  </si>
  <si>
    <t>Lider Administrativo</t>
  </si>
  <si>
    <t>luis.martinez@atline.mx</t>
  </si>
  <si>
    <t>Banda Gonzales Elizabeth Sarahi</t>
  </si>
  <si>
    <t>elizabeth.banda@atline.com</t>
  </si>
  <si>
    <t>Estrada De leon Edith Liliana</t>
  </si>
  <si>
    <t>edith.estrada@atline.mx</t>
  </si>
  <si>
    <t>FIRMAS AUTORIZADAS\E013 ENLAK LOGISTICA.pdf</t>
  </si>
  <si>
    <t>Calderon Mireles Karla Yarida</t>
  </si>
  <si>
    <t>INSTITUTO GUADALUPE DE LINARES</t>
  </si>
  <si>
    <t xml:space="preserve">Direccion General </t>
  </si>
  <si>
    <t>Karlay.calderon@gmail.com</t>
  </si>
  <si>
    <t>Torres de la Garza Andre</t>
  </si>
  <si>
    <t xml:space="preserve">administracion </t>
  </si>
  <si>
    <t>a.torres@institutoguadalupe.org</t>
  </si>
  <si>
    <t>FIRMAS AUTORIZADAS\I018 INSTITUTO GUADALUPE DE LINARES.pdf</t>
  </si>
  <si>
    <t>RIOS Y ASOCIADOS CONSULTORES</t>
  </si>
  <si>
    <t>Rios Rendon Gerardo</t>
  </si>
  <si>
    <t>Lic.gerardo.rios@gmail.com</t>
  </si>
  <si>
    <t>Rios Robledo Leonardo Alejandro</t>
  </si>
  <si>
    <t>Contador Publico Encargado</t>
  </si>
  <si>
    <t>Cp.leonardo.rios@ryaconsultoria.com</t>
  </si>
  <si>
    <t>FIRMAS AUTORIZADAS\R014 RIOS Y ASOCIADOS CONSULTORES.pdf</t>
  </si>
  <si>
    <t>H. CONGRESO DEL ESTADO DE NUEVO LEON</t>
  </si>
  <si>
    <t>Flores Aguilar Fernando Alberto</t>
  </si>
  <si>
    <t>Tesorero del H.Congreso</t>
  </si>
  <si>
    <t>rhcongreso@hotmail.com</t>
  </si>
  <si>
    <t>FIRMAS AUTORIZADAS\H014 H. CONGRESO DEL ESTADO DE NUEVO LEON.pdf</t>
  </si>
  <si>
    <t>FIRMAS AUTORIZADAS\H013 HOSPITAL Y SPA CLUB MASCOTA SA DE CV-Club Mascota.pdf</t>
  </si>
  <si>
    <t>MUNICIPIO DE CERRALVO</t>
  </si>
  <si>
    <t>Madrigal Elias Angel Isaac</t>
  </si>
  <si>
    <t>Secretario del Republicano Ayuntamiento</t>
  </si>
  <si>
    <t>isaac.madrigal1988@hotmail.com</t>
  </si>
  <si>
    <t>STEELCASE MONTERREY</t>
  </si>
  <si>
    <t>Kiara Daniela</t>
  </si>
  <si>
    <t>Jasso Peña Ana Gabriela</t>
  </si>
  <si>
    <t>Analyst, Global RH Support</t>
  </si>
  <si>
    <t>Myhrmx@steelcase.com</t>
  </si>
  <si>
    <t>De Luna Canseco Paula Cristina</t>
  </si>
  <si>
    <t>Represantive, Global HR Support - l1</t>
  </si>
  <si>
    <t>Mariscal Cervantes Sonia Marlen</t>
  </si>
  <si>
    <t>Analyst, Global HR Support</t>
  </si>
  <si>
    <t>FIRMAS AUTORIZADAS\S034 STEELCASE MONTERREY.pdf</t>
  </si>
  <si>
    <t>Empacados Grupo</t>
  </si>
  <si>
    <t>Nava Cynthia</t>
  </si>
  <si>
    <t>aux.rh@empacados.com</t>
  </si>
  <si>
    <t xml:space="preserve">Rangel Brenda </t>
  </si>
  <si>
    <t xml:space="preserve">Analista de Reclutamiento y Selección </t>
  </si>
  <si>
    <t>aux2.rh@empacados.com</t>
  </si>
  <si>
    <t xml:space="preserve">Velez Alexandra </t>
  </si>
  <si>
    <t>aux3.rh@empacados.com</t>
  </si>
  <si>
    <t>FIRMAS AUTORIZADAS\E014 EMPACADOS SA DE CV.pdf</t>
  </si>
  <si>
    <t>YTURRIA</t>
  </si>
  <si>
    <t>Cavazoz Cosio Adalberto</t>
  </si>
  <si>
    <t>8181515151 ext 105</t>
  </si>
  <si>
    <t>adalberto.cavazos@yas.com.mx</t>
  </si>
  <si>
    <t>FIRMAS AUTORIZADAS\Y02 YTURRIA AGENTE DE SEGUROS.pdf</t>
  </si>
  <si>
    <t>MARCO PANADERIA INDUSTRIAL-El nuevo nopa panaderia y pasteles</t>
  </si>
  <si>
    <t>Hernandez Salazar Ana Karina</t>
  </si>
  <si>
    <t xml:space="preserve">Recursos Humanos </t>
  </si>
  <si>
    <t>reclutamiento@grupomarco.mx</t>
  </si>
  <si>
    <t>Sanchez Ferez Victor Humberto</t>
  </si>
  <si>
    <t>contabilidad@grupomarco.mx</t>
  </si>
  <si>
    <t>FIRMAS AUTORIZADAS\M027 MARCO PANADERIA INDUSTRIAL-El nuevo nopa panaderia y pasteles.pdf</t>
  </si>
  <si>
    <t>FIRMAS AUTORIZADAS\M026 MUNICIPIO DE CERRALVO.pdf</t>
  </si>
  <si>
    <t>ROLO TRADING PRODUCTS SA DE CV</t>
  </si>
  <si>
    <t>Conde Martinez Dayli Estefany</t>
  </si>
  <si>
    <t>Encargada RH</t>
  </si>
  <si>
    <t>rh@rolotrading.com</t>
  </si>
  <si>
    <t xml:space="preserve">Elizondo Ortiz Hector </t>
  </si>
  <si>
    <t>hector.elizondo@newarx.mx</t>
  </si>
  <si>
    <t>Regino Lopez Waldir Amaral</t>
  </si>
  <si>
    <t>contabilidad@newarx.mx</t>
  </si>
  <si>
    <t>FIRMAS AUTORIZADAS\R015 ROLO TRADING PRODUCTS SA DE CV.pdf</t>
  </si>
  <si>
    <t>COMERCIALIZADORA ALUMAX EXTRUSIONS MEXICO-HowMet Aerospace</t>
  </si>
  <si>
    <t>Treviño Ginez Angela Anahi</t>
  </si>
  <si>
    <t>angela.trevino@howmet.com</t>
  </si>
  <si>
    <t>Ayala Garza Carlos Alberto</t>
  </si>
  <si>
    <t>Gerente Servicios Compartidos</t>
  </si>
  <si>
    <t>carlos.ayala@howmet.com</t>
  </si>
  <si>
    <t>Garcia Vergara Rodames</t>
  </si>
  <si>
    <t>Supervisor Recursos Humanos</t>
  </si>
  <si>
    <t>rodames.garcia@howmet.com</t>
  </si>
  <si>
    <t>FIRMAS AUTORIZADAS\C052 COMERCIALIZADORA ALUMAX EXTRUSIONS MEXICO-HowMet Aerospace.pdf</t>
  </si>
  <si>
    <t>SERVICIOS EDUCATIVOS ALEF DE MONTERREY-Instituto Educativo ALEF</t>
  </si>
  <si>
    <t>Hernandez Garza Erick Daniel</t>
  </si>
  <si>
    <t>Director Pedagogico</t>
  </si>
  <si>
    <t>8122617239 EXT .100</t>
  </si>
  <si>
    <t>DHERNANDEZ@ALEF.EDU.MX</t>
  </si>
  <si>
    <t>FIRMAS AUTORIZADAS\S035 SERVICIOS EDUCATIVOS ALEF DE MONTERREY-Instituto Educativo ALEF.pdf</t>
  </si>
  <si>
    <t>MCM010809BT5</t>
  </si>
  <si>
    <t>AST1503031K0</t>
  </si>
  <si>
    <t>CAC180209A22</t>
  </si>
  <si>
    <t>CCH181002GTA</t>
  </si>
  <si>
    <t>CAE970501K80</t>
  </si>
  <si>
    <t>EMP750909CF9</t>
  </si>
  <si>
    <t>TRM150601MA7</t>
  </si>
  <si>
    <t>HCE240801UP6</t>
  </si>
  <si>
    <t>MAN850101B54</t>
  </si>
  <si>
    <t>MCE850101TP6</t>
  </si>
  <si>
    <t>MPI1711066C9</t>
  </si>
  <si>
    <t>RTP180208358</t>
  </si>
  <si>
    <t>SMO150925BA0</t>
  </si>
  <si>
    <t>SEA240812TI0</t>
  </si>
  <si>
    <t>Armendariz Avalos Griselda</t>
  </si>
  <si>
    <t>Talent Acquisition &amp; Trainig Coordinator</t>
  </si>
  <si>
    <t>garmenda@mx.brembo.com</t>
  </si>
  <si>
    <t>maldonado Arellano Angel Israel</t>
  </si>
  <si>
    <t>Apodaca Disc Machining Plant P&amp;O Manager</t>
  </si>
  <si>
    <t>amaldonado@mx.brembo.com</t>
  </si>
  <si>
    <t>BREMBO DE MEXICO</t>
  </si>
  <si>
    <t>FIRMAS AUTORIZADAS\B014 BREMBO DE MEXICO.pdf</t>
  </si>
  <si>
    <t>CARRAZCO &amp; ASOC. S.C.</t>
  </si>
  <si>
    <t>22  de Julio de 2026</t>
  </si>
  <si>
    <t>Carrazco Cerda Juan</t>
  </si>
  <si>
    <t>Sosa Martinez Estefania Lizeth</t>
  </si>
  <si>
    <t>Supervisora</t>
  </si>
  <si>
    <t>Contabilidad4@carrazcoyasociados.com.mx</t>
  </si>
  <si>
    <t>Coronado Martinez Humberto Saul</t>
  </si>
  <si>
    <t>Contabilidad6@carrazcoyasociados.com.mx</t>
  </si>
  <si>
    <t>FIRMAS AUTORIZADAS\C053 CARRAZCO &amp; ASOC. S.C..pdf</t>
  </si>
  <si>
    <t>C058</t>
  </si>
  <si>
    <t>C059</t>
  </si>
  <si>
    <t>C060</t>
  </si>
  <si>
    <t>CENTRO DE TECNOLOGIA NSG-NSG México</t>
  </si>
  <si>
    <t>Hernandez Palacios  Luis Fernando</t>
  </si>
  <si>
    <t>Fernando.Hernandez@nsg-engineering.com</t>
  </si>
  <si>
    <t>Raziel Treviño Francisco</t>
  </si>
  <si>
    <t>Consultor Digital y de Negocios</t>
  </si>
  <si>
    <t>Francisco.Treviño@nsg-engineering.com</t>
  </si>
  <si>
    <t>FIRMAS AUTORIZADAS\C054 CENTRO DE TECNOLOGIA NSG-NSG México.pdf</t>
  </si>
  <si>
    <t>COMERCIALIZADORA DE PESCADOS Y MARISCOS EL CHARAL</t>
  </si>
  <si>
    <t>Cantu Orta Edmundo Joel</t>
  </si>
  <si>
    <t>gerencia_rh@charal.com.mx</t>
  </si>
  <si>
    <t>FIRMAS AUTORIZADAS\C055 COMERCIALIZADORA DE PESCADOS Y MARISCOS EL CHARAL.pdf</t>
  </si>
  <si>
    <t>CONSORCIO INDUSTRIAL CADEREYTA -CICSA</t>
  </si>
  <si>
    <t>22 de Julios de 2026</t>
  </si>
  <si>
    <t>Jefe de Recuros Humano</t>
  </si>
  <si>
    <t>FIRMAS AUTORIZADAS\C056 CONSORCIO INDUSTRIAL CADEREYTA -CICSA.pdf</t>
  </si>
  <si>
    <t>CONSULTORIA FINANCIERA MELCAP-Melcap</t>
  </si>
  <si>
    <t>Pachur Guerra Carlos Humberto</t>
  </si>
  <si>
    <t>info@sirocmx.com</t>
  </si>
  <si>
    <t>Alarcon Flores caludia Melissa</t>
  </si>
  <si>
    <t>administracion@sirocmx.com</t>
  </si>
  <si>
    <t>FIRMAS AUTORIZADAS\C057 CONSULTORIA FINANCIERA MELCAP-Melcap.pdf</t>
  </si>
  <si>
    <t>EPICOR BUSINESS SOLUTIONS MEXICO</t>
  </si>
  <si>
    <t>22 de Julio de 2026</t>
  </si>
  <si>
    <t>Garcia Jr. Martin Roberto</t>
  </si>
  <si>
    <t>Gerente de Reclutamiento</t>
  </si>
  <si>
    <t>Martin.garcia@epicor.com</t>
  </si>
  <si>
    <t>Hernandez Montoro Roberta</t>
  </si>
  <si>
    <t>Reclutador</t>
  </si>
  <si>
    <t>roberta.hernandez@epicor.com</t>
  </si>
  <si>
    <t>Garcia Elizabeth</t>
  </si>
  <si>
    <t>Reclutador Senior</t>
  </si>
  <si>
    <t>elizabeth.garcia@epicor.com</t>
  </si>
  <si>
    <t>FIRMAS AUTORIZADAS\E015 EPICOR BUSINESS SOLUTIONS MEXICO.pdf</t>
  </si>
  <si>
    <t>EQUIPO AUTOMOTRIZ AMERICANA-Joyson Safety Systems</t>
  </si>
  <si>
    <t>Velez Ramos Alexis Javier</t>
  </si>
  <si>
    <t>Alexis.velez@joysonsafety.com</t>
  </si>
  <si>
    <t>FIRMAS AUTORIZADAS\E016 EQUIPO AUTOMOTRIZ AMERICANA-Joyson Safety Systems.pdf</t>
  </si>
  <si>
    <t>FIDENCIO CABRAL CASAS-CyA Contadores y Asesores</t>
  </si>
  <si>
    <t>cabral Casas Fidencio</t>
  </si>
  <si>
    <t>Mcabral@Contadoresyasesores.com.mx</t>
  </si>
  <si>
    <t>JUAN CONCEPCION ALMARAZ MARQUEZ-Despacho Fiscal y Contable</t>
  </si>
  <si>
    <t>22 de Julio de2026</t>
  </si>
  <si>
    <t>Almaraz Marquez Juan Concepcion</t>
  </si>
  <si>
    <t>gar_dm@hotmail.com</t>
  </si>
  <si>
    <t>FIRMAS AUTORIZADAS\J009 JUAN CONCEPCION ALMARAZ MARQUEZ-Despacho Fiscal y Contable.pdf</t>
  </si>
  <si>
    <t>LA MISION SUPERMERCADOS S.A. DE C.V.</t>
  </si>
  <si>
    <t>Galindo Barrera Eddy Alexis</t>
  </si>
  <si>
    <t>egalindo@lamisionsuper.com</t>
  </si>
  <si>
    <t>Davila Rodriguez Jose Luis</t>
  </si>
  <si>
    <t>ildavila@lamisionsuper.com</t>
  </si>
  <si>
    <t>Platas Elizondo Nallely Guadalupe</t>
  </si>
  <si>
    <t>Encargada de Nomina</t>
  </si>
  <si>
    <t>nplatas@lamisionsuper.com</t>
  </si>
  <si>
    <t>FIRMAS AUTORIZADAS\L008 LA MISION SUPERMERCADOS S.A. DE C.V..pdf</t>
  </si>
  <si>
    <t>LOGISTICA INGENIERIA Y SISTEMAS-LIS Soluciones</t>
  </si>
  <si>
    <t>Mena Martinez Nadia Gabriela</t>
  </si>
  <si>
    <t>Contadora General</t>
  </si>
  <si>
    <t>nmena@lis.com.mx</t>
  </si>
  <si>
    <t>rangel Martinez Alexandra</t>
  </si>
  <si>
    <t>rh@lis.com.mx</t>
  </si>
  <si>
    <t>Pantoja de Hoyos Cecilia Abigail</t>
  </si>
  <si>
    <t>rh2@lis.com.mx</t>
  </si>
  <si>
    <t>FIRMAS AUTORIZADAS\L009 LOGISTICA INGENIERIA Y SISTEMAS-LIS Soluciones.pdf</t>
  </si>
  <si>
    <t>LUIS ANTONIO GUAJARDO CHAVEZ-Servicios Contables Guajardo</t>
  </si>
  <si>
    <t>Sacnhez Rocha Rocio</t>
  </si>
  <si>
    <t>rocio.sanchezr@uanl.edu.mx</t>
  </si>
  <si>
    <t>Perez Gomez Nallely</t>
  </si>
  <si>
    <t>nalle.25p@gmail.com</t>
  </si>
  <si>
    <t>FIRMAS AUTORIZADAS\L010 LUIS ANTONIO GUAJARDO CHAVEZ-Servicios Contables Guajardo.pdf</t>
  </si>
  <si>
    <t>Ramirez Torres Claudia Elizabeth</t>
  </si>
  <si>
    <t>calidad@martinezmagallanes.com</t>
  </si>
  <si>
    <t>MARTÍNEZ MAGALLANES CONSULTORES</t>
  </si>
  <si>
    <t>Herrera Caballero Jessica Elizabeth</t>
  </si>
  <si>
    <t>jessica.herrera@martinezmagallanes.com</t>
  </si>
  <si>
    <t>FIRMAS AUTORIZADAS\M028 MARTÍNEZ MAGALLANES CONSULTORES.pdf</t>
  </si>
  <si>
    <t>Varela lopez Francisco Antonio</t>
  </si>
  <si>
    <t>MOLINERA DE MÉXICO-Molinera de Nuevo León</t>
  </si>
  <si>
    <t>lider de Capital Humano</t>
  </si>
  <si>
    <t>fvarela@gtrimex.mx</t>
  </si>
  <si>
    <t>Sanchez Montoya Cinthia Lizbeth</t>
  </si>
  <si>
    <t>Analista de Capital Humano</t>
  </si>
  <si>
    <t>csanchezm@gtrimex.mx</t>
  </si>
  <si>
    <t>Galindo Cuevano Brayan Alexander</t>
  </si>
  <si>
    <t>bgalindol@gtrimex.mx</t>
  </si>
  <si>
    <t>FIRMAS AUTORIZADAS\M029 MOLINERA DE MÉXICO-Molinera de Nuevo León.pdf</t>
  </si>
  <si>
    <t>MUNICIPIO SABINAS HIDALGO NUEVO LEON</t>
  </si>
  <si>
    <t>3 de Junio de 2026</t>
  </si>
  <si>
    <t>Guzmán Colunga Alfredo</t>
  </si>
  <si>
    <t>Secretar¡o de F¡nanzas y Tesorero Mun¡c¡pal</t>
  </si>
  <si>
    <t>tesorero.sabinas24@gmail.com</t>
  </si>
  <si>
    <t>Guzman Cavazos Marco Antonio</t>
  </si>
  <si>
    <t>Director de Ingresos y Egresos</t>
  </si>
  <si>
    <t>marco.tesoreria24-27@hotmail.com</t>
  </si>
  <si>
    <t>Guerra cabrera Hector Hugo</t>
  </si>
  <si>
    <t>Director de Recaudacion inmobilaria</t>
  </si>
  <si>
    <t>tinejeros57@icloud.com</t>
  </si>
  <si>
    <t>FIRMAS AUTORIZADAS\M030 MUNICIPIO SABINAS HIDALGO NUEVO LEON.pdf</t>
  </si>
  <si>
    <t>NAZO REPRESENTACIONES Y SERVICIOS</t>
  </si>
  <si>
    <t>Vargas Gonzalez Daniel</t>
  </si>
  <si>
    <t>Daniel.Vargas@nazo.mx</t>
  </si>
  <si>
    <t>FIRMAS AUTORIZADAS\N007 NAZO REPRESENTACIONES Y SERVICIOS.pdf</t>
  </si>
  <si>
    <t>PREMIUM BRAND DISTRIBUTOR</t>
  </si>
  <si>
    <t>Garza Cruz Elvia Alael</t>
  </si>
  <si>
    <t>egarza@lexport-pbd.com</t>
  </si>
  <si>
    <t>Torres caballero Jose Ivan</t>
  </si>
  <si>
    <t>itorres@lexport-pbd.com</t>
  </si>
  <si>
    <t>PROXIMIDAD Y LOGISTICA-OXXO</t>
  </si>
  <si>
    <t>Treviño Trujillo Vaery</t>
  </si>
  <si>
    <t>Valery.trevinotrujillo@oxxo.com</t>
  </si>
  <si>
    <t>FIRMAS AUTORIZADAS\P025 PREMIUM BRAND DISTRIBUTOR.pdf</t>
  </si>
  <si>
    <t>FIRMAS AUTORIZADAS\P026 PROXIMIDAD Y LOGISTICA-OXXO.pdf</t>
  </si>
  <si>
    <t>Quimmco</t>
  </si>
  <si>
    <t>Sanchez Gonzales Victor  Isaac</t>
  </si>
  <si>
    <t>Lider de Administracion y finanzas</t>
  </si>
  <si>
    <t>victor.sanchez@quimmco.com</t>
  </si>
  <si>
    <t>FIRMAS AUTORIZADAS\Q006 Quimmco.pdf</t>
  </si>
  <si>
    <t>SECOVI SAPI DE CV</t>
  </si>
  <si>
    <t>Contaduria</t>
  </si>
  <si>
    <t>fgarcia@gruposecovi.com</t>
  </si>
  <si>
    <t>Garcia Garcia Francisco Javier</t>
  </si>
  <si>
    <t>FIRMAS AUTORIZADAS\S036 SECOVI SAPI DE CV.pdf</t>
  </si>
  <si>
    <t>SEGUETAS LENMEX-Maraga</t>
  </si>
  <si>
    <t>Medina Chaparra Judith Marlene</t>
  </si>
  <si>
    <t>8183743474 ext. 1800</t>
  </si>
  <si>
    <t>judith.medina@maraga.com.mx</t>
  </si>
  <si>
    <t>Lopez Flores Carlos Alberto</t>
  </si>
  <si>
    <t>Coordinador de Reclutamiento y Selección</t>
  </si>
  <si>
    <t>8183743474 ext. 1810</t>
  </si>
  <si>
    <t>carlos.lopez@maraga.com.mx</t>
  </si>
  <si>
    <t>Molina ramirez Samantha Rocio</t>
  </si>
  <si>
    <t>Coordinador de Capacitacion</t>
  </si>
  <si>
    <t>8183743474 ext. 1815</t>
  </si>
  <si>
    <t>samantha.molina@marage.com.mx</t>
  </si>
  <si>
    <t>FIRMAS AUTORIZADAS\S037 SEGUETAS LENMEX-Maraga.pdf</t>
  </si>
  <si>
    <t>SIGMA ALIMENTOS LACTEOS-Planta de Sabinas Hidalgo</t>
  </si>
  <si>
    <t>Coronado Pecina Alejandra maribel</t>
  </si>
  <si>
    <t>Analista de atraccion y adquisicion de talento</t>
  </si>
  <si>
    <t>acoronado@sigma-alimentos.com</t>
  </si>
  <si>
    <t xml:space="preserve">Gomez Llano Oscar </t>
  </si>
  <si>
    <t>Analista de Nominas</t>
  </si>
  <si>
    <t>ogomez@sigma-alimentos.com</t>
  </si>
  <si>
    <t>FIRMAS AUTORIZADAS\S038 SIGMA ALIMENTOS LACTEOS-Planta de Sabinas Hidalgo.pdf</t>
  </si>
  <si>
    <t>SYSTEMS ACUMULADORES</t>
  </si>
  <si>
    <t>Briones Banda Jose Ricardo</t>
  </si>
  <si>
    <t xml:space="preserve">Subdireccion </t>
  </si>
  <si>
    <t>Systems.acumuladores@gmail.com</t>
  </si>
  <si>
    <t>FIRMAS AUTORIZADAS\S039 SYSTEMS ACUMULADORES.pdf</t>
  </si>
  <si>
    <t>Rodriguez Morfin Luis Carlos</t>
  </si>
  <si>
    <t>WM LATINOAMERICA S DE RL DE CV</t>
  </si>
  <si>
    <t>FIRMAS AUTORIZADAS\W004 WM LATINOAMERICA S DE RL DE CV.pdf</t>
  </si>
  <si>
    <t>TERNIUM MEXICO SA DE CV</t>
  </si>
  <si>
    <t>Saucedo Monreal Ladislao</t>
  </si>
  <si>
    <t>Analista de Administracion de Personal</t>
  </si>
  <si>
    <t>8188652828 ext. 73990</t>
  </si>
  <si>
    <t>c.lsaucedo@ternium.com.mx</t>
  </si>
  <si>
    <t>FIRMAS AUTORIZADAS\T019 TERNIUM MEXICO SA DE CV.pdf</t>
  </si>
  <si>
    <t>BOSTIK MEXICANA</t>
  </si>
  <si>
    <t>BME631003N72</t>
  </si>
  <si>
    <t>Pérez Pérez Stefani Magaly</t>
  </si>
  <si>
    <t>Stefani.perez@bostik.com</t>
  </si>
  <si>
    <t>FIRMAS AUTORIZADAS\B015 BOSTIK MEXICANA.pdf</t>
  </si>
  <si>
    <t>BM96041816V4</t>
  </si>
  <si>
    <t>CTN210513K88</t>
  </si>
  <si>
    <t>CPM061128GT0</t>
  </si>
  <si>
    <t>Tamaño</t>
  </si>
  <si>
    <t>Sector</t>
  </si>
  <si>
    <t>Servicio</t>
  </si>
  <si>
    <t>Estado</t>
  </si>
  <si>
    <t>Municipio</t>
  </si>
  <si>
    <t>Local</t>
  </si>
  <si>
    <t>Multinacional-Internacional</t>
  </si>
  <si>
    <t>Nacional</t>
  </si>
  <si>
    <t>Regional</t>
  </si>
  <si>
    <t>Trasnacional</t>
  </si>
  <si>
    <t>Público</t>
  </si>
  <si>
    <t>Privado</t>
  </si>
  <si>
    <t>Social</t>
  </si>
  <si>
    <t>Educativo</t>
  </si>
  <si>
    <t>Micro 1 - 10</t>
  </si>
  <si>
    <t>Pequeña 11 - 50</t>
  </si>
  <si>
    <t>Mediana 51 -250</t>
  </si>
  <si>
    <t>Grande 251 - En adelante</t>
  </si>
  <si>
    <t>AMBITO</t>
  </si>
  <si>
    <t>#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</si>
  <si>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</si>
  <si>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</si>
  <si>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</si>
  <si>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</si>
  <si>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</si>
  <si>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</si>
  <si>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</si>
  <si>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</si>
  <si>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</si>
  <si>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</si>
  <si>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</si>
  <si>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</si>
  <si>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</si>
  <si>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</si>
  <si>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</si>
  <si>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</si>
  <si>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</si>
  <si>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</si>
  <si>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</si>
  <si>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</si>
  <si>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</si>
  <si>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</si>
  <si>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</si>
  <si>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</si>
  <si>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</si>
  <si>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</si>
  <si>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</si>
  <si>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</si>
  <si>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</si>
  <si>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</si>
  <si>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</si>
  <si>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</si>
  <si>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.</t>
  </si>
  <si>
    <t>Monterrey</t>
  </si>
  <si>
    <t xml:space="preserve">San Pedro Garza Garcia </t>
  </si>
  <si>
    <t>Garcia</t>
  </si>
  <si>
    <t>Guadalupe</t>
  </si>
  <si>
    <t xml:space="preserve">SAN NICOLAS DE LOS GARZA                </t>
  </si>
  <si>
    <t>Financiero</t>
  </si>
  <si>
    <t>Sistemas</t>
  </si>
  <si>
    <t>Comercial</t>
  </si>
  <si>
    <t>Quimicos</t>
  </si>
  <si>
    <t>Industrial</t>
  </si>
  <si>
    <t>Automotriz</t>
  </si>
  <si>
    <t>Medicina y Salud</t>
  </si>
  <si>
    <t>Manufactura</t>
  </si>
  <si>
    <t>Apodaca</t>
  </si>
  <si>
    <t>Alimentos</t>
  </si>
  <si>
    <t>Consultoria</t>
  </si>
  <si>
    <t>Servicio al Cliente</t>
  </si>
  <si>
    <t>San Pedro Garza Garcia</t>
  </si>
  <si>
    <t>DELEGACION AZCAPOTZALCO</t>
  </si>
  <si>
    <t>Consuloria</t>
  </si>
  <si>
    <t>Santa Catarina</t>
  </si>
  <si>
    <t>Cadereyta</t>
  </si>
  <si>
    <t>Servicios Contables</t>
  </si>
  <si>
    <t>Consultora</t>
  </si>
  <si>
    <t>Electronica</t>
  </si>
  <si>
    <t>Transporte</t>
  </si>
  <si>
    <t>San Pedro Garza garcia</t>
  </si>
  <si>
    <t>Farmaceuticos</t>
  </si>
  <si>
    <t>Genie Cuality</t>
  </si>
  <si>
    <t>Refrigereacion</t>
  </si>
  <si>
    <t>Cienega de Flores</t>
  </si>
  <si>
    <t>Medico</t>
  </si>
  <si>
    <t>General Escobedo</t>
  </si>
  <si>
    <t>Metal Mecanica</t>
  </si>
  <si>
    <t>Construccion</t>
  </si>
  <si>
    <t>San Nicolas de los Garza</t>
  </si>
  <si>
    <t>Empresarial</t>
  </si>
  <si>
    <t>Gubernamental</t>
  </si>
  <si>
    <t>Logistica</t>
  </si>
  <si>
    <t>Muebles</t>
  </si>
  <si>
    <t>Acero</t>
  </si>
  <si>
    <t>Pesqueria</t>
  </si>
  <si>
    <t>Aceros</t>
  </si>
  <si>
    <t>Automotrices</t>
  </si>
  <si>
    <t>Servicio a clientes</t>
  </si>
  <si>
    <t>Telecomunicaciones</t>
  </si>
  <si>
    <t>Empresaial</t>
  </si>
  <si>
    <t>SERVICIOS FULTRA-Amparts</t>
  </si>
  <si>
    <t>ESM000807M79</t>
  </si>
  <si>
    <t>EAA731217A14</t>
  </si>
  <si>
    <t>AAMJ7212078D0</t>
  </si>
  <si>
    <t>NRS091001LN4</t>
  </si>
  <si>
    <t>SEC020910KC3</t>
  </si>
  <si>
    <t>SLE920904TV8</t>
  </si>
  <si>
    <t>SAL970610152</t>
  </si>
  <si>
    <t>SAC210412E37</t>
  </si>
  <si>
    <t>YAS840424QR4</t>
  </si>
  <si>
    <t>NGK CERAMICS MEXICO</t>
  </si>
  <si>
    <t>Cenobio Mendoza Diana Marllene</t>
  </si>
  <si>
    <t>Generalista de Reclutamiento Y Contratación</t>
  </si>
  <si>
    <t>8182881000 Ext. 142</t>
  </si>
  <si>
    <t>marlene.cenobio@ngk.com.mx</t>
  </si>
  <si>
    <t>FIRMAS AUTORIZADAS\N008 NGK CERAMICS MEXICO.pdf</t>
  </si>
  <si>
    <t>PAULA IRENE MADRIGAL OVIEDO-Tortilleria Don Juanito</t>
  </si>
  <si>
    <t>MAOP8207188G2</t>
  </si>
  <si>
    <t>Madrigal Oviedo Paula Irene</t>
  </si>
  <si>
    <t>Propietaria</t>
  </si>
  <si>
    <t>Paula.i.madrigal@hotmail.com</t>
  </si>
  <si>
    <t>FIRMAS AUTORIZADAS\P027 PAULA IRENE MADRIGAL OVIEDO-Tortilleria Don Juanito.pdf</t>
  </si>
  <si>
    <t>Chairez Ramírez Miriam</t>
  </si>
  <si>
    <t>Analista de Importaciones</t>
  </si>
  <si>
    <t>miriam.chairez@promare.mx</t>
  </si>
  <si>
    <t>FIRMAS AUTORIZADAS\S040 SERVICIOS FULTRA-Amparts.pdf</t>
  </si>
  <si>
    <t>TRANSPORTES MONTERREY-Trayecto</t>
  </si>
  <si>
    <t>TMO601122G75</t>
  </si>
  <si>
    <t>Oliva Castillo Guadalupe</t>
  </si>
  <si>
    <t>Coordinador de Capital Humano</t>
  </si>
  <si>
    <t>guadalupe.oliva@transportesmty.com.mx</t>
  </si>
  <si>
    <t>FIRMAS AUTORIZADAS\T020 TRANSPORTES MONTERREY-Trayecto.pdf</t>
  </si>
  <si>
    <t>LEGO OPERACIONES DE MEXICO</t>
  </si>
  <si>
    <t>LOM080618AJ8</t>
  </si>
  <si>
    <t>Ramos Arturo</t>
  </si>
  <si>
    <t>Senior Manager - Talent Adquisition</t>
  </si>
  <si>
    <t>Moreno García Sotero Daniel</t>
  </si>
  <si>
    <t>Talent Specialist</t>
  </si>
  <si>
    <t>Sotero.garcía@lego.com</t>
  </si>
  <si>
    <t>Viquez Galván Axel Daniel</t>
  </si>
  <si>
    <t>axel.daniel.galvan@LEGO.com</t>
  </si>
  <si>
    <t>FIRMAS AUTORIZADAS\L011 LEGO OPERACIONES DE MEXICO.pdf</t>
  </si>
  <si>
    <t>Consutoria</t>
  </si>
  <si>
    <t>Auditoria</t>
  </si>
  <si>
    <t>Seguridad</t>
  </si>
  <si>
    <t xml:space="preserve">Construccion </t>
  </si>
  <si>
    <t>Deportes</t>
  </si>
  <si>
    <t>Ingennieria</t>
  </si>
  <si>
    <t>Mantenimiento</t>
  </si>
  <si>
    <t>Inmuebles</t>
  </si>
  <si>
    <t>Linares</t>
  </si>
  <si>
    <t>Asesoria</t>
  </si>
  <si>
    <t>Venta</t>
  </si>
  <si>
    <t>Comericial</t>
  </si>
  <si>
    <t xml:space="preserve">Investigacion </t>
  </si>
  <si>
    <t>Metales</t>
  </si>
  <si>
    <t>Tecnologico</t>
  </si>
  <si>
    <t>Seguros de vida</t>
  </si>
  <si>
    <t>Apoyo digital</t>
  </si>
  <si>
    <t>Despacho Montemayor</t>
  </si>
  <si>
    <t xml:space="preserve">Religioso </t>
  </si>
  <si>
    <t xml:space="preserve">Sistemas </t>
  </si>
  <si>
    <t>Capacitacion</t>
  </si>
  <si>
    <t>Asesoria Financiera</t>
  </si>
  <si>
    <t>Distribucion</t>
  </si>
  <si>
    <t>Educacion</t>
  </si>
  <si>
    <t>San Nicolas de los Gaza</t>
  </si>
  <si>
    <t>Desarrollo</t>
  </si>
  <si>
    <t>Servicio tecnologico</t>
  </si>
  <si>
    <t>Maquinas</t>
  </si>
  <si>
    <t>Inmobilario</t>
  </si>
  <si>
    <t>GÜNTNER DE MEXICO SA DE CV</t>
  </si>
  <si>
    <t>GME020313J2A</t>
  </si>
  <si>
    <t>Velázquez Ortega David Alejandro</t>
  </si>
  <si>
    <t>david.velazquez@guentner.com</t>
  </si>
  <si>
    <t>FIRMAS AUTORIZADAS\G025 GÜNTNER DE MEXICO SA DE CV.pdf</t>
  </si>
  <si>
    <t>SERVICIOS INDUSTRIALES ANCE</t>
  </si>
  <si>
    <t>Carvajal Morales Angel Daniel</t>
  </si>
  <si>
    <t>+528661007948</t>
  </si>
  <si>
    <t>angel.carvajal@serviciosance.com</t>
  </si>
  <si>
    <t>FIRMAS AUTORIZADAS\S041 SERVICIOS INDUSTRIALES ANCE.pdf</t>
  </si>
  <si>
    <t>FIRMAS AUTORIZADAS\P028 PROVEEDORA INDUSTRIAL VARGAS-Privarsa.pdf</t>
  </si>
  <si>
    <t>NELSON FIDEL SANCHEZ MUÑOZ</t>
  </si>
  <si>
    <t>SAMN7801242MA</t>
  </si>
  <si>
    <t>Sánchez Muñoz Nelson Fidel</t>
  </si>
  <si>
    <t>nelson2004@prodigy.net.mx</t>
  </si>
  <si>
    <t>FIRMAS AUTORIZADAS\N009 NELSON FIDEL SANCHEZ MUÑOZ.pdf</t>
  </si>
  <si>
    <t>SOPORTE INDUSTRIAL MAQUILACERO-ABX Steel Solution</t>
  </si>
  <si>
    <t>SIM070924SY6</t>
  </si>
  <si>
    <t>Sánchez Villarreal Yesika Anet</t>
  </si>
  <si>
    <t>Jefe de Incorporación de Talento</t>
  </si>
  <si>
    <t>8117999197 Ext. 3102</t>
  </si>
  <si>
    <t>yasanchez@grupoabx.com</t>
  </si>
  <si>
    <t>Valdéz García Angela Estefanía</t>
  </si>
  <si>
    <t>Analista de Reclutamiento</t>
  </si>
  <si>
    <t>avaldez@grupoabx.com</t>
  </si>
  <si>
    <t>FIRMAS AUTORIZADAS\S042 SOPORTE INDUSTRIAL MAQUILACERO-ABX Steel Solution.pdf</t>
  </si>
  <si>
    <t>FORTIO CONNECTIONS</t>
  </si>
  <si>
    <t>23 de Julio de 2026</t>
  </si>
  <si>
    <t>Manrique de Lara Diego Arroniz</t>
  </si>
  <si>
    <t>diego.lara@fortioconnections.com</t>
  </si>
  <si>
    <t>Martín Canavati</t>
  </si>
  <si>
    <t>martin.canavati@fortioconnections.com</t>
  </si>
  <si>
    <t>FIRMAS AUTORIZADAS\F016 FORTIO CONNECTIONS.pdf</t>
  </si>
  <si>
    <t>FIRMAS AUTORIZADAS\F015 FIDENCIO CABRAL CASAS-CyA Contadores y Asesores.pdf</t>
  </si>
  <si>
    <t>Entretenimiento</t>
  </si>
  <si>
    <t>Suplementos</t>
  </si>
  <si>
    <t xml:space="preserve">Grabados </t>
  </si>
  <si>
    <t xml:space="preserve">fabricacion </t>
  </si>
  <si>
    <t xml:space="preserve">Produccion </t>
  </si>
  <si>
    <t>Comercializacion</t>
  </si>
  <si>
    <t>Desarrollo de Software</t>
  </si>
  <si>
    <t>Renta de Maquinaria</t>
  </si>
  <si>
    <t>Geotecnica</t>
  </si>
  <si>
    <t>Supermercado</t>
  </si>
  <si>
    <t>Vehiculos</t>
  </si>
  <si>
    <t>fabricacion de frenos</t>
  </si>
  <si>
    <t>Veterinaria</t>
  </si>
  <si>
    <t>Produccion de Cerveza</t>
  </si>
  <si>
    <t>Hotelero</t>
  </si>
  <si>
    <t>Fabricacion de Herramientas</t>
  </si>
  <si>
    <t>Leyes</t>
  </si>
  <si>
    <t>Vivienda</t>
  </si>
  <si>
    <t>Mediciana</t>
  </si>
  <si>
    <t>Apoyo a jovenes</t>
  </si>
  <si>
    <t xml:space="preserve">Fabricacion </t>
  </si>
  <si>
    <t>Ingieneria</t>
  </si>
  <si>
    <t>Inversion a negocios</t>
  </si>
  <si>
    <t>Carros</t>
  </si>
  <si>
    <t>Facricacion</t>
  </si>
  <si>
    <t>Cadereyta Jimenez</t>
  </si>
  <si>
    <t>Cerralvo</t>
  </si>
  <si>
    <t>Sabinas Hidalgo</t>
  </si>
  <si>
    <t>Diseños</t>
  </si>
  <si>
    <t>Servicios Administrativos</t>
  </si>
  <si>
    <t xml:space="preserve">Altamira </t>
  </si>
  <si>
    <t>Qumicos</t>
  </si>
  <si>
    <t>Industrrial</t>
  </si>
  <si>
    <t>Seervicios Electricos</t>
  </si>
  <si>
    <t>Supervision</t>
  </si>
  <si>
    <t>Limpieza</t>
  </si>
  <si>
    <t>Ecologico</t>
  </si>
  <si>
    <t>privado</t>
  </si>
  <si>
    <t>mediana 51 -250</t>
  </si>
  <si>
    <t>Alimento</t>
  </si>
  <si>
    <t xml:space="preserve">Mobiliario </t>
  </si>
  <si>
    <t>FIRMAS AUTORIZADAS\A023 ABRAHAM OSVALDO RODRIGUEZ BAEZ-AD Corporative.pdf</t>
  </si>
  <si>
    <t>FERRETERIA Y MATERIALES PARA CONSTRUCCION SALDAÑA-Ferreterias Saldañas</t>
  </si>
  <si>
    <t>FMC150220PU9</t>
  </si>
  <si>
    <t>Saldaña Aldana José Andrés</t>
  </si>
  <si>
    <t>Flores Garza Juan Leonardo</t>
  </si>
  <si>
    <t>leonardoferesal01@gmail.com</t>
  </si>
  <si>
    <t xml:space="preserve">González Hernández Adrián </t>
  </si>
  <si>
    <t>Gerente de Ventas</t>
  </si>
  <si>
    <t>adrianhernandez3245@outlook.com</t>
  </si>
  <si>
    <t>Becerra López Roberto</t>
  </si>
  <si>
    <t>robecbecerra@gmail.com</t>
  </si>
  <si>
    <t>FIRMAS AUTORIZADAS\F017 FERRETERIA Y MATERIALES PARA CONSTRUCCION SALDAÑA-Ferreterias Saldañas.pdf</t>
  </si>
  <si>
    <t>FOOD SOLUTIONS S.A DE C.V</t>
  </si>
  <si>
    <t>FSO980525A41</t>
  </si>
  <si>
    <t>Salazar Favela Adriana</t>
  </si>
  <si>
    <t>8183213636 Ext. 1122</t>
  </si>
  <si>
    <t>adriana.salazar@nutribits.com</t>
  </si>
  <si>
    <t>Cid del Padro Raymundo Lafaire</t>
  </si>
  <si>
    <t>García Laura Patricia</t>
  </si>
  <si>
    <t>Gerente de Admon y Ventas</t>
  </si>
  <si>
    <t>8183213636 Ext. 1109</t>
  </si>
  <si>
    <t>patricia@nutribits.com</t>
  </si>
  <si>
    <t>Pérez Karen Sofía</t>
  </si>
  <si>
    <t>Generalista RH</t>
  </si>
  <si>
    <t>8183212626 Ext. 1123</t>
  </si>
  <si>
    <t>Karen.perez@nutribits.com</t>
  </si>
  <si>
    <t>FIRMAS AUTORIZADAS\F018 FOOD SOLUTIONS S.A DE C.V.pdf</t>
  </si>
  <si>
    <t>FABIOLA LUISA AVILA ZAPATA</t>
  </si>
  <si>
    <t>AIZF900831H33</t>
  </si>
  <si>
    <t>Avila Zapata Fabiola Luisa</t>
  </si>
  <si>
    <t>fabiola.Avila@flexsoft.com.mx</t>
  </si>
  <si>
    <t>FIRMAS AUTORIZADAS\F019 FABIOLA LUISA AVILA ZAPATA.pdf</t>
  </si>
  <si>
    <t>Nancy Guadalupe Flores Serna-Asesoria fiscal y contable</t>
  </si>
  <si>
    <t>FOSN741212D86</t>
  </si>
  <si>
    <t>28 de Julio de 2026</t>
  </si>
  <si>
    <t>Flores Serna Nancy Guadalupe</t>
  </si>
  <si>
    <t>nancyflores50@hotmail.com</t>
  </si>
  <si>
    <t>FIRMAS AUTORIZADAS\N010 Nancy Guadalupe Flores Serna-Asesoria fiscal y contable.pdf</t>
  </si>
  <si>
    <t>XCF S.A. DE C.V.</t>
  </si>
  <si>
    <t>XCF0308083V5</t>
  </si>
  <si>
    <t>Veloz Morales Jorge Alberto</t>
  </si>
  <si>
    <t>Gerente de Relaciones Laborales</t>
  </si>
  <si>
    <t>Jorge.veloz@xcf.com.mx</t>
  </si>
  <si>
    <t>Cervantes García Jessica Mirthala</t>
  </si>
  <si>
    <t>Coordinador de Admon de Personal</t>
  </si>
  <si>
    <t>Jessica.cervantes@xcf.com.mx</t>
  </si>
  <si>
    <t>Garza Montez Ramon Elizandro</t>
  </si>
  <si>
    <t>Ramon.garza@xcf.com.mx</t>
  </si>
  <si>
    <t>FIRMAS AUTORIZADAS\X004 XCF S.A. DE C.V..pdf</t>
  </si>
  <si>
    <t>Medicina y salud</t>
  </si>
  <si>
    <t xml:space="preserve">Mantenimiento </t>
  </si>
  <si>
    <t>Manufacura</t>
  </si>
  <si>
    <t>Marketing</t>
  </si>
  <si>
    <t>Soporte tecnico</t>
  </si>
  <si>
    <t>Reclutamiento</t>
  </si>
  <si>
    <t xml:space="preserve">Servicios Contables </t>
  </si>
  <si>
    <t>PROVEEDORA DE CLIMAS-Bonificacion Salinas</t>
  </si>
  <si>
    <t>29 de Julio de 2026</t>
  </si>
  <si>
    <t>PCL790403PZ7</t>
  </si>
  <si>
    <t>Martínez Martínez Brenda Miroslava</t>
  </si>
  <si>
    <t>brenda.martinez@proveedora.mx</t>
  </si>
  <si>
    <t>FIRMAS AUTORIZADAS\P028 PROVEEDORA DE CLIMAS-Bonificacion Salinas.pdf</t>
  </si>
  <si>
    <t>SURTIDOR ELECTRICO DE MONTERREY S.A DE C.V.</t>
  </si>
  <si>
    <t>SEM760301LY5</t>
  </si>
  <si>
    <t>Barrera Vargas Jose Luis</t>
  </si>
  <si>
    <t>8181250100 Ext. 2162</t>
  </si>
  <si>
    <t>j.barrera@surtidorelectrico.com</t>
  </si>
  <si>
    <t>Espinosa Limon Karina Lizethe</t>
  </si>
  <si>
    <t>Analisat de Recursos Humanos</t>
  </si>
  <si>
    <t>8181250100 Ext. 2179</t>
  </si>
  <si>
    <t>reclutamiento@surtidorelectrico.com</t>
  </si>
  <si>
    <t>FIRMAS AUTORIZADAS\S043 SURTIDOR ELECTRICO DE MONTERREY S.A DE C.V..pdf</t>
  </si>
  <si>
    <t>(en blanco)</t>
  </si>
  <si>
    <t>Total general</t>
  </si>
  <si>
    <t>CEMM MEX</t>
  </si>
  <si>
    <t>Inmobiliario</t>
  </si>
  <si>
    <t>30 de Julio de 2026</t>
  </si>
  <si>
    <t>SEGUROS AFIRME S.A. DE C.V. AFIRME GRUPO FINA</t>
  </si>
  <si>
    <t>Garcia Cadengo Nancy Vianey</t>
  </si>
  <si>
    <t>Cepeda Contreras Erika Alondra</t>
  </si>
  <si>
    <t>Gerente Venta libre</t>
  </si>
  <si>
    <t>erika.cepeda@afirme.com</t>
  </si>
  <si>
    <t>Aguilera Puente Alondra</t>
  </si>
  <si>
    <t>Coordinador Contable</t>
  </si>
  <si>
    <t>alondra.aguilera@afirme.com</t>
  </si>
  <si>
    <t>FIRMAS AUTORIZADAS\S044 SEGUROS AFIRME S.A. DE C.V. AFIRME GRUPO FINA.pdf</t>
  </si>
  <si>
    <t>FUNDACIÓN PRO UNIVERSITARIA A.C.-Pro Meritum</t>
  </si>
  <si>
    <t>Hernandez uruchurtu Maria fernanda</t>
  </si>
  <si>
    <t>24 de Julio de 2026</t>
  </si>
  <si>
    <t>fernanda.hernandez@prouniversitaria.org</t>
  </si>
  <si>
    <t>FIRMAS AUTORIZADAS\F020 FUNDACIÓN PRO UNIVERSITARIA A.C.-Pro Meritum.pdf</t>
  </si>
  <si>
    <t>Cuenta de Empresa</t>
  </si>
  <si>
    <t>Etiquetas de fila</t>
  </si>
  <si>
    <t xml:space="preserve">Cadereyta </t>
  </si>
  <si>
    <t>Recuento de Empresa</t>
  </si>
  <si>
    <t>Altamira</t>
  </si>
  <si>
    <t>Recuento de Empresas</t>
  </si>
  <si>
    <t>CENTRO PATRONAL DE NUEVO LEÓN-Coparmex Nuevo León</t>
  </si>
  <si>
    <t>31 de Julio de 2026</t>
  </si>
  <si>
    <t>CPN291106IQA</t>
  </si>
  <si>
    <t>Escamilla Zamora Martha Guadalupe</t>
  </si>
  <si>
    <t>Jefe de Operaciones de administración de practicantes</t>
  </si>
  <si>
    <t>8186259100 Ext. 1075</t>
  </si>
  <si>
    <t>mescamilla@coparmexnl.mx</t>
  </si>
  <si>
    <t>FIRMAS AUTORIZADAS\C058 CENTRO PATRONAL DE NUEVO LEÓN-Coparmex Nuevo León.pdf</t>
  </si>
  <si>
    <t>AREMA PRODUCCION Y SERVICIOS-Arema Ticket</t>
  </si>
  <si>
    <t>APS9006081H1</t>
  </si>
  <si>
    <t>Buentello Treviño Virginia</t>
  </si>
  <si>
    <t>vicky.buentello@arema.mx</t>
  </si>
  <si>
    <t>Beltrpan Sánchez Deidra Yared</t>
  </si>
  <si>
    <t>Analista de Nóminas</t>
  </si>
  <si>
    <t>dei.beltran@arema.mx</t>
  </si>
  <si>
    <t xml:space="preserve">Pérez Pardo Katia Guadalupe </t>
  </si>
  <si>
    <t>Ejecutiva de Reclutamiento</t>
  </si>
  <si>
    <t>katia.perez@arema.com</t>
  </si>
  <si>
    <t>FIRMAS AUTORIZADAS\A030 AREMA PRODUCCION Y SERVICIOS-Arema Ticket.pdf</t>
  </si>
  <si>
    <t>Mercado Vargas Nallely San juanita</t>
  </si>
  <si>
    <t>ARNECOM-Yazaki</t>
  </si>
  <si>
    <t>Nallely. Mercado@mx.yazaki.com</t>
  </si>
  <si>
    <t>Alvarado Canizales Martin Tadeo</t>
  </si>
  <si>
    <t>Cordinador de Reclutamiento y Selección</t>
  </si>
  <si>
    <t>martin.alvarado@mx.yazaki.com</t>
  </si>
  <si>
    <t>Villela del Rio Karla Marlene</t>
  </si>
  <si>
    <t>Analisis de Reclutamiento y selección</t>
  </si>
  <si>
    <t>Karla.villeladel@mx.yazaki.com</t>
  </si>
  <si>
    <t>SARO TECH</t>
  </si>
  <si>
    <t>Perez Olvera Devani Zaharait</t>
  </si>
  <si>
    <t>devani.perez@sarotech.io</t>
  </si>
  <si>
    <t>FIRMAS AUTORIZADAS\S045 SARO TECH.pdf</t>
  </si>
  <si>
    <t>28 de julio de 2026</t>
  </si>
  <si>
    <t>Villarreal Castillo Ana Cristina</t>
  </si>
  <si>
    <t>TRANSPLACE DE MEXICO-Uber Freight</t>
  </si>
  <si>
    <t>talent Acquisitian Partner I University Relatios</t>
  </si>
  <si>
    <t>ana.villarreal@uberfreigth.com</t>
  </si>
  <si>
    <t>FIRMAS AUTORIZADAS\T021 TRANSPLACE DE MEXICO-Uber Freight.pdf</t>
  </si>
  <si>
    <t>XYLEM MONTERREY</t>
  </si>
  <si>
    <t>Macias Sanchez Jose Miguel</t>
  </si>
  <si>
    <t>Miguel.macias@xylem.com</t>
  </si>
  <si>
    <t>Rodriguez Reyna Lizbeth Berenice</t>
  </si>
  <si>
    <t>Payroll Analyst</t>
  </si>
  <si>
    <t>Berenice.rodriguez@xylem.com</t>
  </si>
  <si>
    <t>FIRMAS AUTORIZADAS\X005 XYLEM MONTERREY.pdf</t>
  </si>
  <si>
    <t>ESTOCÁSTICOS CONSULTORES-Tibs</t>
  </si>
  <si>
    <t>03 de Agosto de 2026</t>
  </si>
  <si>
    <t>Leos Ortiz Paola Berenice</t>
  </si>
  <si>
    <t>Lider de Capital Humano</t>
  </si>
  <si>
    <t>Paola.leos@tibs.com.mx</t>
  </si>
  <si>
    <t>31 deJulio de 2026</t>
  </si>
  <si>
    <t>REYNARIO GARCIA CORONEL-Saycom Microsip Guadalupe</t>
  </si>
  <si>
    <t>Garcia Coronel Reynario</t>
  </si>
  <si>
    <t>rey.garcia@saycom.mx</t>
  </si>
  <si>
    <t>FIRMAS AUTORIZADAS\R016 REYNARIO GARCIA CORONEL-Saycom Microsip Guadalupe.pdf</t>
  </si>
  <si>
    <t>Venta de Boletos</t>
  </si>
  <si>
    <t>Fabricacion de Cables</t>
  </si>
  <si>
    <t>asesoría jurídica</t>
  </si>
  <si>
    <t>Tecnologias</t>
  </si>
  <si>
    <t>Material Electrico</t>
  </si>
  <si>
    <t>Seguros</t>
  </si>
  <si>
    <t>Tecnologia</t>
  </si>
  <si>
    <t>ERIKA GUADALUPE CERVANTES MARTÍNEZ-Consultoria Integral Contable Fiscal</t>
  </si>
  <si>
    <t>CEME8702263E7</t>
  </si>
  <si>
    <t>Mendoza Valdez Alondra</t>
  </si>
  <si>
    <t>administracion@serviciosecem.com.mx</t>
  </si>
  <si>
    <t>Cervantes Martinez Erika</t>
  </si>
  <si>
    <t>ecervantes@serviciosecem.com.mx</t>
  </si>
  <si>
    <t>FIRMAS AUTORIZADAS\E018 ERIKA GUADALUPE CERVANTES MARTÍNEZ-Consultoria Integral Contable Fiscal.pdf</t>
  </si>
  <si>
    <t>FIRMAS AUTORIZADAS\E017 ESTOCÁSTICOS CONSULTORES-Tibs.pdf</t>
  </si>
  <si>
    <t>SMS910520NZ8</t>
  </si>
  <si>
    <t>DSX160930SV0</t>
  </si>
  <si>
    <t>STE221012760</t>
  </si>
  <si>
    <t>SAF980202D99</t>
  </si>
  <si>
    <t>GACR750930I96</t>
  </si>
  <si>
    <t>QUI890630687</t>
  </si>
  <si>
    <t>Columna1</t>
  </si>
  <si>
    <t>Columna6</t>
  </si>
  <si>
    <t>Columna12</t>
  </si>
  <si>
    <t>Columna18</t>
  </si>
  <si>
    <t>Puesto que ocupa en la empresa:2</t>
  </si>
  <si>
    <t>Teléfono de contacto (y extensión)3</t>
  </si>
  <si>
    <t>Correo empresarial4</t>
  </si>
  <si>
    <t>Whatsapp5</t>
  </si>
  <si>
    <t>Nombre completo (Iniciando por apellidos, nombre)7</t>
  </si>
  <si>
    <t>Puesto que ocupa en la empresa:8</t>
  </si>
  <si>
    <t>Teléfono de contacto (y extensión)9</t>
  </si>
  <si>
    <t>Correo empresarial10</t>
  </si>
  <si>
    <t>Whatsapp11</t>
  </si>
  <si>
    <t>Nombre completo (Iniciando por apellidos, nombre)13</t>
  </si>
  <si>
    <t>Puesto que ocupa en la empresa:14</t>
  </si>
  <si>
    <t>Teléfono de contacto (y extensión)15</t>
  </si>
  <si>
    <t>Correo empresarial16</t>
  </si>
  <si>
    <t>Whatsapp17</t>
  </si>
  <si>
    <t>Total</t>
  </si>
  <si>
    <t>INNOVA SPORT</t>
  </si>
  <si>
    <t>ISP831021NV9</t>
  </si>
  <si>
    <t>Magana Vazquez Manuel</t>
  </si>
  <si>
    <t>Atracción de Talento</t>
  </si>
  <si>
    <t>manue.magana@innovasport.com</t>
  </si>
  <si>
    <t>FIRMAS AUTORIZADAS\I019 INNOVA SPORT.pdf</t>
  </si>
  <si>
    <t>05 de Agosto de 2026</t>
  </si>
  <si>
    <t>PROMOTORA DE DESARROLLO RURAL DE NUEVO LEON</t>
  </si>
  <si>
    <t>Salinas Gonzales Miguel Angel</t>
  </si>
  <si>
    <t>Aguilar Mendoza Leopoldo</t>
  </si>
  <si>
    <t>Director de Adminisracion y Finanzas</t>
  </si>
  <si>
    <t>leopoldo.aguilar@nuevoleon.gob.mx</t>
  </si>
  <si>
    <t>Garcia Gonzales Maria del Roble</t>
  </si>
  <si>
    <t>contador.proderleon@gmail.com</t>
  </si>
  <si>
    <t>TRANSPORTES LOPEZ E HIJOS-Trayecto</t>
  </si>
  <si>
    <t>Bernal Lopez Brenda Guadalupe</t>
  </si>
  <si>
    <t>8181548500 ext 1181</t>
  </si>
  <si>
    <t>brenda.bernal@Hh.com.mx</t>
  </si>
  <si>
    <t>Arevalo Villegas Susana</t>
  </si>
  <si>
    <t>8181548500 ext. 1187</t>
  </si>
  <si>
    <t>susana.arevalo@Hh.com.mx</t>
  </si>
  <si>
    <t>Quiroz Aylin</t>
  </si>
  <si>
    <t>Atencion al Operador</t>
  </si>
  <si>
    <t>8181548500 ext. 1100</t>
  </si>
  <si>
    <t>aylin.quiroz@Hh.com.mx</t>
  </si>
  <si>
    <t>FIRMAS AUTORIZADAS\T022 TRANSPORTES LOPEZ E HIJOS-Trayecto.pdf</t>
  </si>
  <si>
    <t>DEA7103086X2</t>
  </si>
  <si>
    <t>DEACERO SAPI</t>
  </si>
  <si>
    <t>Ortega Vazquez Sabik María Josefina</t>
  </si>
  <si>
    <t>Gerente de Experiencia del Colaborador</t>
  </si>
  <si>
    <t>smjortega@deacero.com</t>
  </si>
  <si>
    <t>Flores Chávez Ana Lilia</t>
  </si>
  <si>
    <t>Jefe de proyectos de atracción de Talernto</t>
  </si>
  <si>
    <t>anlflores@deacero.com</t>
  </si>
  <si>
    <t>Ledezma Treviño Mariana</t>
  </si>
  <si>
    <t>Jefe de Adinistración de Talento</t>
  </si>
  <si>
    <t>mledezma@deacero.com</t>
  </si>
  <si>
    <t>FIRMAS AUTORIZADAS\D025 DEACERO SAPI.pdf</t>
  </si>
  <si>
    <t>FIRMAS AUTORIZADAS\D017 DIRECCION DE EDUCACION DIGITAL.pdf</t>
  </si>
  <si>
    <t>perla.chaviratq@uanl.mx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</si>
</sst>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Verdana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5B3F86"/>
      </right>
      <top/>
      <bottom style="medium">
        <color indexed="64"/>
      </bottom>
      <diagonal/>
    </border>
    <border>
      <left style="medium">
        <color rgb="FFCCCCCC"/>
      </left>
      <right style="medium">
        <color rgb="FF5B3F86"/>
      </right>
      <top/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5B3F86"/>
      </right>
      <top/>
      <bottom/>
      <diagonal/>
    </border>
    <border>
      <left style="medium">
        <color rgb="FFCCCCCC"/>
      </left>
      <right style="medium">
        <color rgb="FF5B3F86"/>
      </right>
      <top/>
      <bottom/>
      <diagonal/>
    </border>
    <border>
      <left style="medium">
        <color rgb="FFCCCCCC"/>
      </left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5" fillId="0" borderId="0" applyNumberFormat="0" applyFill="0" applyBorder="0" applyAlignment="0" applyProtection="0"/>
    <xf numFmtId="0" fontId="9" fillId="6" borderId="0" applyNumberFormat="0" applyBorder="0" applyAlignment="0" applyProtection="0"/>
  </cellStyleXfs>
  <cellXfs count="56">
    <xf numFmtId="0" fontId="0" fillId="0" borderId="0" xfId="0"/>
    <xf numFmtId="0" fontId="0" fillId="0" borderId="2" xfId="0" applyBorder="1"/>
    <xf numFmtId="0" fontId="3" fillId="3" borderId="1" xfId="2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Fill="1" applyAlignment="1">
      <alignment horizontal="center"/>
    </xf>
    <xf numFmtId="0" fontId="3" fillId="2" borderId="3" xfId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3" fillId="2" borderId="5" xfId="1" applyFont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0" fillId="4" borderId="0" xfId="0" applyFill="1"/>
    <xf numFmtId="0" fontId="2" fillId="3" borderId="6" xfId="2" applyBorder="1" applyAlignment="1">
      <alignment horizontal="center" vertical="center"/>
    </xf>
    <xf numFmtId="0" fontId="5" fillId="0" borderId="2" xfId="3" applyBorder="1"/>
    <xf numFmtId="1" fontId="0" fillId="0" borderId="2" xfId="0" applyNumberFormat="1" applyBorder="1"/>
    <xf numFmtId="0" fontId="0" fillId="0" borderId="7" xfId="0" applyFill="1" applyBorder="1"/>
    <xf numFmtId="0" fontId="6" fillId="0" borderId="2" xfId="3" applyFont="1" applyBorder="1" applyAlignment="1"/>
    <xf numFmtId="0" fontId="0" fillId="0" borderId="0" xfId="0" applyFill="1" applyBorder="1"/>
    <xf numFmtId="0" fontId="0" fillId="0" borderId="7" xfId="0" applyBorder="1"/>
    <xf numFmtId="0" fontId="5" fillId="0" borderId="0" xfId="3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0" xfId="3" applyBorder="1"/>
    <xf numFmtId="0" fontId="0" fillId="0" borderId="9" xfId="0" applyBorder="1"/>
    <xf numFmtId="0" fontId="5" fillId="0" borderId="9" xfId="3" applyBorder="1"/>
    <xf numFmtId="0" fontId="0" fillId="0" borderId="10" xfId="0" applyBorder="1"/>
    <xf numFmtId="0" fontId="3" fillId="3" borderId="6" xfId="2" applyFont="1" applyBorder="1" applyAlignment="1">
      <alignment horizontal="center" vertical="center" wrapText="1"/>
    </xf>
    <xf numFmtId="0" fontId="3" fillId="2" borderId="11" xfId="1" applyFont="1" applyBorder="1" applyAlignment="1">
      <alignment horizontal="center" vertical="center" wrapText="1"/>
    </xf>
    <xf numFmtId="0" fontId="3" fillId="2" borderId="12" xfId="1" applyFont="1" applyBorder="1" applyAlignment="1">
      <alignment horizontal="center" vertical="center" wrapText="1"/>
    </xf>
    <xf numFmtId="0" fontId="3" fillId="2" borderId="13" xfId="1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4" borderId="2" xfId="0" applyFill="1" applyBorder="1"/>
    <xf numFmtId="0" fontId="5" fillId="0" borderId="7" xfId="3" applyFill="1" applyBorder="1"/>
    <xf numFmtId="0" fontId="0" fillId="5" borderId="2" xfId="0" applyFill="1" applyBorder="1"/>
    <xf numFmtId="0" fontId="0" fillId="5" borderId="0" xfId="0" applyFill="1"/>
    <xf numFmtId="0" fontId="8" fillId="0" borderId="0" xfId="0" applyFont="1"/>
    <xf numFmtId="0" fontId="5" fillId="0" borderId="10" xfId="3" applyBorder="1"/>
    <xf numFmtId="0" fontId="0" fillId="0" borderId="2" xfId="0" applyNumberFormat="1" applyBorder="1"/>
    <xf numFmtId="0" fontId="0" fillId="0" borderId="2" xfId="0" quotePrefix="1" applyBorder="1"/>
    <xf numFmtId="0" fontId="0" fillId="0" borderId="0" xfId="0" applyBorder="1"/>
    <xf numFmtId="0" fontId="0" fillId="0" borderId="2" xfId="0" applyBorder="1" applyAlignment="1">
      <alignment wrapText="1"/>
    </xf>
    <xf numFmtId="0" fontId="0" fillId="0" borderId="2" xfId="0" applyBorder="1" applyAlignment="1"/>
    <xf numFmtId="0" fontId="7" fillId="6" borderId="2" xfId="4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6" fillId="0" borderId="0" xfId="0" applyFont="1"/>
    <xf numFmtId="0" fontId="0" fillId="0" borderId="0" xfId="0" applyNumberFormat="1"/>
    <xf numFmtId="0" fontId="3" fillId="3" borderId="14" xfId="2" applyFont="1" applyBorder="1" applyAlignment="1">
      <alignment horizontal="center" vertical="center" wrapText="1"/>
    </xf>
    <xf numFmtId="0" fontId="11" fillId="0" borderId="0" xfId="0" pivotButton="1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0" fillId="7" borderId="0" xfId="0" applyFill="1"/>
    <xf numFmtId="0" fontId="12" fillId="7" borderId="2" xfId="0" applyFont="1" applyFill="1" applyBorder="1" applyAlignment="1">
      <alignment horizontal="center"/>
    </xf>
    <xf numFmtId="0" fontId="7" fillId="7" borderId="0" xfId="0" applyFont="1" applyFill="1" applyBorder="1" applyAlignment="1">
      <alignment horizontal="center"/>
    </xf>
    <xf numFmtId="0" fontId="0" fillId="8" borderId="0" xfId="0" applyFill="1"/>
    <xf numFmtId="0" fontId="13" fillId="7" borderId="8" xfId="0" applyFont="1" applyFill="1" applyBorder="1" applyAlignment="1">
      <alignment horizontal="center"/>
    </xf>
  </cellXfs>
  <cellStyles count="5">
    <cellStyle name="20% - Énfasis1" xfId="4" builtinId="30"/>
    <cellStyle name="Bueno" xfId="1" builtinId="26"/>
    <cellStyle name="Entrada" xfId="2" builtinId="20"/>
    <cellStyle name="Hipervínculo" xfId="3" builtinId="8"/>
    <cellStyle name="Normal" xfId="0" builtinId="0"/>
  </cellStyles>
  <dxfs count="1972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fill>
        <patternFill patternType="solid">
          <fgColor indexed="64"/>
          <bgColor theme="1"/>
        </patternFill>
      </fill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7F7F7F"/>
        </top>
        <bottom style="thin">
          <color indexed="64"/>
        </bottom>
      </border>
    </dxf>
    <dxf>
      <border outline="0">
        <bottom style="thin">
          <color rgb="FF7F7F7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3.xml"/><Relationship Id="rId38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2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 EMPRESAS FIRMAS AUTORIZADAS.xlsx]Analisis de Datos!TablaDinámica4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788500228942901E-2"/>
          <c:y val="2.9115728320933388E-2"/>
          <c:w val="0.92806521871496317"/>
          <c:h val="0.814942264723752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'Analisis de Datos'!$C$67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Datos'!$B$68:$B$73</c:f>
              <c:strCache>
                <c:ptCount val="5"/>
                <c:pt idx="0">
                  <c:v>(en blanco)</c:v>
                </c:pt>
                <c:pt idx="1">
                  <c:v>Educativo</c:v>
                </c:pt>
                <c:pt idx="2">
                  <c:v>Privado</c:v>
                </c:pt>
                <c:pt idx="3">
                  <c:v>Público</c:v>
                </c:pt>
                <c:pt idx="4">
                  <c:v>Social</c:v>
                </c:pt>
              </c:strCache>
            </c:strRef>
          </c:cat>
          <c:val>
            <c:numRef>
              <c:f>'Analisis de Datos'!$C$68:$C$73</c:f>
              <c:numCache>
                <c:formatCode>General</c:formatCode>
                <c:ptCount val="5"/>
                <c:pt idx="0">
                  <c:v>4</c:v>
                </c:pt>
                <c:pt idx="1">
                  <c:v>14</c:v>
                </c:pt>
                <c:pt idx="2">
                  <c:v>388</c:v>
                </c:pt>
                <c:pt idx="3">
                  <c:v>17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F-4153-870E-91189FC88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5366968"/>
        <c:axId val="725375496"/>
      </c:barChart>
      <c:catAx>
        <c:axId val="72536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5375496"/>
        <c:crosses val="autoZero"/>
        <c:auto val="1"/>
        <c:lblAlgn val="ctr"/>
        <c:lblOffset val="100"/>
        <c:noMultiLvlLbl val="0"/>
      </c:catAx>
      <c:valAx>
        <c:axId val="725375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253669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 EMPRESAS FIRMAS AUTORIZADAS.xlsx]Analisis de Datos!TablaDinámica8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 Datos'!$C$121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Datos'!$B$122:$B$140</c:f>
              <c:strCache>
                <c:ptCount val="18"/>
                <c:pt idx="0">
                  <c:v>(en blanco)</c:v>
                </c:pt>
                <c:pt idx="1">
                  <c:v>Altamira</c:v>
                </c:pt>
                <c:pt idx="2">
                  <c:v>Apodaca</c:v>
                </c:pt>
                <c:pt idx="3">
                  <c:v>Cadereyta</c:v>
                </c:pt>
                <c:pt idx="4">
                  <c:v>Cerralvo</c:v>
                </c:pt>
                <c:pt idx="5">
                  <c:v>Cienega de Flores</c:v>
                </c:pt>
                <c:pt idx="6">
                  <c:v>DELEGACION AZCAPOTZALCO</c:v>
                </c:pt>
                <c:pt idx="7">
                  <c:v>Garcia</c:v>
                </c:pt>
                <c:pt idx="8">
                  <c:v>General Escobedo</c:v>
                </c:pt>
                <c:pt idx="9">
                  <c:v>Guadalupe</c:v>
                </c:pt>
                <c:pt idx="10">
                  <c:v>Linares</c:v>
                </c:pt>
                <c:pt idx="11">
                  <c:v>Monterrey</c:v>
                </c:pt>
                <c:pt idx="12">
                  <c:v>n/a</c:v>
                </c:pt>
                <c:pt idx="13">
                  <c:v>Pesqueria</c:v>
                </c:pt>
                <c:pt idx="14">
                  <c:v>Sabinas Hidalgo</c:v>
                </c:pt>
                <c:pt idx="15">
                  <c:v>San Nicolas de los Garza</c:v>
                </c:pt>
                <c:pt idx="16">
                  <c:v>San Pedro Garza Garcia</c:v>
                </c:pt>
                <c:pt idx="17">
                  <c:v>Santa Catarina</c:v>
                </c:pt>
              </c:strCache>
            </c:strRef>
          </c:cat>
          <c:val>
            <c:numRef>
              <c:f>'Analisis de Datos'!$C$122:$C$140</c:f>
              <c:numCache>
                <c:formatCode>General</c:formatCode>
                <c:ptCount val="18"/>
                <c:pt idx="0">
                  <c:v>4</c:v>
                </c:pt>
                <c:pt idx="1">
                  <c:v>1</c:v>
                </c:pt>
                <c:pt idx="2">
                  <c:v>64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11</c:v>
                </c:pt>
                <c:pt idx="9">
                  <c:v>8</c:v>
                </c:pt>
                <c:pt idx="10">
                  <c:v>4</c:v>
                </c:pt>
                <c:pt idx="11">
                  <c:v>273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19</c:v>
                </c:pt>
                <c:pt idx="16">
                  <c:v>18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5-4D2E-87D4-D833DD1D4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1128848"/>
        <c:axId val="521124256"/>
      </c:barChart>
      <c:catAx>
        <c:axId val="52112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1124256"/>
        <c:crosses val="autoZero"/>
        <c:auto val="1"/>
        <c:lblAlgn val="ctr"/>
        <c:lblOffset val="100"/>
        <c:noMultiLvlLbl val="0"/>
      </c:catAx>
      <c:valAx>
        <c:axId val="5211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1128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cap="all" baseline="0"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 EMPRESAS FIRMAS AUTORIZADAS.xlsx]Analisis de Datos!TablaDinámica11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cap="all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 Datos'!$C$7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Datos'!$B$8:$B$13</c:f>
              <c:strCache>
                <c:ptCount val="5"/>
                <c:pt idx="0">
                  <c:v>(en blanco)</c:v>
                </c:pt>
                <c:pt idx="1">
                  <c:v>Local</c:v>
                </c:pt>
                <c:pt idx="2">
                  <c:v>Multinacional-Internacional</c:v>
                </c:pt>
                <c:pt idx="3">
                  <c:v>Nacional</c:v>
                </c:pt>
                <c:pt idx="4">
                  <c:v>Trasnacional</c:v>
                </c:pt>
              </c:strCache>
            </c:strRef>
          </c:cat>
          <c:val>
            <c:numRef>
              <c:f>'Analisis de Datos'!$C$8:$C$13</c:f>
              <c:numCache>
                <c:formatCode>General</c:formatCode>
                <c:ptCount val="5"/>
                <c:pt idx="0">
                  <c:v>4</c:v>
                </c:pt>
                <c:pt idx="1">
                  <c:v>165</c:v>
                </c:pt>
                <c:pt idx="2">
                  <c:v>57</c:v>
                </c:pt>
                <c:pt idx="3">
                  <c:v>147</c:v>
                </c:pt>
                <c:pt idx="4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C5-4596-8511-C238B1CC9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549096"/>
        <c:axId val="527549752"/>
      </c:barChart>
      <c:catAx>
        <c:axId val="527549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7549752"/>
        <c:crosses val="autoZero"/>
        <c:auto val="1"/>
        <c:lblAlgn val="ctr"/>
        <c:lblOffset val="100"/>
        <c:noMultiLvlLbl val="0"/>
      </c:catAx>
      <c:valAx>
        <c:axId val="52754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7549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>
              <a:lumMod val="95000"/>
            </a:schemeClr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cap="all" baseline="0"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 EMPRESAS FIRMAS AUTORIZADAS.xlsx]Analisis de Datos!TablaDinámica12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 Datos'!$C$34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Datos'!$B$35:$B$40</c:f>
              <c:strCache>
                <c:ptCount val="5"/>
                <c:pt idx="0">
                  <c:v>(en blanco)</c:v>
                </c:pt>
                <c:pt idx="1">
                  <c:v>Grande 251 - En adelante</c:v>
                </c:pt>
                <c:pt idx="2">
                  <c:v>Mediana 51 -250</c:v>
                </c:pt>
                <c:pt idx="3">
                  <c:v>Micro 1 - 10</c:v>
                </c:pt>
                <c:pt idx="4">
                  <c:v>Pequeña 11 - 50</c:v>
                </c:pt>
              </c:strCache>
            </c:strRef>
          </c:cat>
          <c:val>
            <c:numRef>
              <c:f>'Analisis de Datos'!$C$35:$C$40</c:f>
              <c:numCache>
                <c:formatCode>General</c:formatCode>
                <c:ptCount val="5"/>
                <c:pt idx="0">
                  <c:v>4</c:v>
                </c:pt>
                <c:pt idx="1">
                  <c:v>160</c:v>
                </c:pt>
                <c:pt idx="2">
                  <c:v>105</c:v>
                </c:pt>
                <c:pt idx="3">
                  <c:v>55</c:v>
                </c:pt>
                <c:pt idx="4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2-42B7-8EFA-650F1EAAA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535320"/>
        <c:axId val="527540568"/>
      </c:barChart>
      <c:catAx>
        <c:axId val="52753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7540568"/>
        <c:crosses val="autoZero"/>
        <c:auto val="1"/>
        <c:lblAlgn val="ctr"/>
        <c:lblOffset val="100"/>
        <c:noMultiLvlLbl val="0"/>
      </c:catAx>
      <c:valAx>
        <c:axId val="52754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75353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 EMPRESAS FIRMAS AUTORIZADAS.xlsx]Analisis de Datos!TablaDinámica13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 Datos'!$C$94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Datos'!$B$95:$B$99</c:f>
              <c:strCache>
                <c:ptCount val="4"/>
                <c:pt idx="0">
                  <c:v>(en blanco)</c:v>
                </c:pt>
                <c:pt idx="1">
                  <c:v>Ciudad de México</c:v>
                </c:pt>
                <c:pt idx="2">
                  <c:v>Nuevo León</c:v>
                </c:pt>
                <c:pt idx="3">
                  <c:v>Tamaulipas</c:v>
                </c:pt>
              </c:strCache>
            </c:strRef>
          </c:cat>
          <c:val>
            <c:numRef>
              <c:f>'Analisis de Datos'!$C$95:$C$99</c:f>
              <c:numCache>
                <c:formatCode>General</c:formatCode>
                <c:ptCount val="4"/>
                <c:pt idx="0">
                  <c:v>4</c:v>
                </c:pt>
                <c:pt idx="1">
                  <c:v>1</c:v>
                </c:pt>
                <c:pt idx="2">
                  <c:v>421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E-45E6-BCBF-19C86AD7C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29704712"/>
        <c:axId val="529702744"/>
      </c:barChart>
      <c:catAx>
        <c:axId val="52970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9702744"/>
        <c:crosses val="autoZero"/>
        <c:auto val="1"/>
        <c:lblAlgn val="ctr"/>
        <c:lblOffset val="100"/>
        <c:noMultiLvlLbl val="0"/>
      </c:catAx>
      <c:valAx>
        <c:axId val="52970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9704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>
              <a:lumMod val="95000"/>
            </a:schemeClr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 EMPRESAS FIRMAS AUTORIZADAS.xlsx]Analisis de Datos!TablaDinámica21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774519985352782E-2"/>
          <c:y val="2.2499934601198104E-2"/>
          <c:w val="0.97615094794981039"/>
          <c:h val="0.838184921652235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'Analisis de Datos'!$S$50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'Analisis de Datos'!$R$51:$R$95</c:f>
              <c:strCache>
                <c:ptCount val="44"/>
                <c:pt idx="0">
                  <c:v>Aceros</c:v>
                </c:pt>
                <c:pt idx="1">
                  <c:v>Administracion </c:v>
                </c:pt>
                <c:pt idx="2">
                  <c:v>Alimentos</c:v>
                </c:pt>
                <c:pt idx="3">
                  <c:v>Asesoria</c:v>
                </c:pt>
                <c:pt idx="4">
                  <c:v>Automotriz</c:v>
                </c:pt>
                <c:pt idx="5">
                  <c:v>Capacitacion</c:v>
                </c:pt>
                <c:pt idx="6">
                  <c:v>Comercial</c:v>
                </c:pt>
                <c:pt idx="7">
                  <c:v>Construccion</c:v>
                </c:pt>
                <c:pt idx="8">
                  <c:v>Consultoria</c:v>
                </c:pt>
                <c:pt idx="9">
                  <c:v>Diseños</c:v>
                </c:pt>
                <c:pt idx="10">
                  <c:v>Ecologico</c:v>
                </c:pt>
                <c:pt idx="11">
                  <c:v>Educacion</c:v>
                </c:pt>
                <c:pt idx="12">
                  <c:v>Empresarial</c:v>
                </c:pt>
                <c:pt idx="13">
                  <c:v>Entretenimiento</c:v>
                </c:pt>
                <c:pt idx="14">
                  <c:v>Financiero</c:v>
                </c:pt>
                <c:pt idx="15">
                  <c:v>Gubernamental</c:v>
                </c:pt>
                <c:pt idx="16">
                  <c:v>Hotelero</c:v>
                </c:pt>
                <c:pt idx="17">
                  <c:v>Industrial</c:v>
                </c:pt>
                <c:pt idx="18">
                  <c:v>Ingenieria</c:v>
                </c:pt>
                <c:pt idx="19">
                  <c:v>Inmobiliario</c:v>
                </c:pt>
                <c:pt idx="20">
                  <c:v>Investigacion </c:v>
                </c:pt>
                <c:pt idx="21">
                  <c:v>Limpieza</c:v>
                </c:pt>
                <c:pt idx="22">
                  <c:v>Logistica</c:v>
                </c:pt>
                <c:pt idx="23">
                  <c:v>Mantenimiento</c:v>
                </c:pt>
                <c:pt idx="24">
                  <c:v>Mantenimiento </c:v>
                </c:pt>
                <c:pt idx="25">
                  <c:v>Manufactura</c:v>
                </c:pt>
                <c:pt idx="26">
                  <c:v>Marketing</c:v>
                </c:pt>
                <c:pt idx="27">
                  <c:v>Medicina y Salud</c:v>
                </c:pt>
                <c:pt idx="28">
                  <c:v>Metales</c:v>
                </c:pt>
                <c:pt idx="29">
                  <c:v>Mobiliario </c:v>
                </c:pt>
                <c:pt idx="30">
                  <c:v>Quimicos</c:v>
                </c:pt>
                <c:pt idx="31">
                  <c:v>Religioso </c:v>
                </c:pt>
                <c:pt idx="32">
                  <c:v>Seguridad</c:v>
                </c:pt>
                <c:pt idx="33">
                  <c:v>Seguros de vida</c:v>
                </c:pt>
                <c:pt idx="34">
                  <c:v>Servicio al Cliente</c:v>
                </c:pt>
                <c:pt idx="35">
                  <c:v>Servicios Contables</c:v>
                </c:pt>
                <c:pt idx="36">
                  <c:v>Sistemas</c:v>
                </c:pt>
                <c:pt idx="37">
                  <c:v>Soporte tecnico</c:v>
                </c:pt>
                <c:pt idx="38">
                  <c:v>Tecnologico</c:v>
                </c:pt>
                <c:pt idx="39">
                  <c:v>Telecomunicaciones</c:v>
                </c:pt>
                <c:pt idx="40">
                  <c:v>Transporte</c:v>
                </c:pt>
                <c:pt idx="41">
                  <c:v>Venta</c:v>
                </c:pt>
                <c:pt idx="42">
                  <c:v>Vivienda</c:v>
                </c:pt>
                <c:pt idx="43">
                  <c:v>(en blanco)</c:v>
                </c:pt>
              </c:strCache>
            </c:strRef>
          </c:cat>
          <c:val>
            <c:numRef>
              <c:f>'Analisis de Datos'!$S$51:$S$95</c:f>
              <c:numCache>
                <c:formatCode>General</c:formatCode>
                <c:ptCount val="44"/>
                <c:pt idx="0">
                  <c:v>8</c:v>
                </c:pt>
                <c:pt idx="1">
                  <c:v>3</c:v>
                </c:pt>
                <c:pt idx="2">
                  <c:v>17</c:v>
                </c:pt>
                <c:pt idx="3">
                  <c:v>18</c:v>
                </c:pt>
                <c:pt idx="4">
                  <c:v>18</c:v>
                </c:pt>
                <c:pt idx="5">
                  <c:v>8</c:v>
                </c:pt>
                <c:pt idx="6">
                  <c:v>31</c:v>
                </c:pt>
                <c:pt idx="7">
                  <c:v>6</c:v>
                </c:pt>
                <c:pt idx="8">
                  <c:v>38</c:v>
                </c:pt>
                <c:pt idx="9">
                  <c:v>1</c:v>
                </c:pt>
                <c:pt idx="10">
                  <c:v>3</c:v>
                </c:pt>
                <c:pt idx="11">
                  <c:v>6</c:v>
                </c:pt>
                <c:pt idx="12">
                  <c:v>3</c:v>
                </c:pt>
                <c:pt idx="13">
                  <c:v>2</c:v>
                </c:pt>
                <c:pt idx="14">
                  <c:v>11</c:v>
                </c:pt>
                <c:pt idx="15">
                  <c:v>13</c:v>
                </c:pt>
                <c:pt idx="16">
                  <c:v>1</c:v>
                </c:pt>
                <c:pt idx="17">
                  <c:v>61</c:v>
                </c:pt>
                <c:pt idx="18">
                  <c:v>2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15</c:v>
                </c:pt>
                <c:pt idx="23">
                  <c:v>3</c:v>
                </c:pt>
                <c:pt idx="24">
                  <c:v>1</c:v>
                </c:pt>
                <c:pt idx="25">
                  <c:v>21</c:v>
                </c:pt>
                <c:pt idx="26">
                  <c:v>1</c:v>
                </c:pt>
                <c:pt idx="27">
                  <c:v>11</c:v>
                </c:pt>
                <c:pt idx="28">
                  <c:v>7</c:v>
                </c:pt>
                <c:pt idx="29">
                  <c:v>2</c:v>
                </c:pt>
                <c:pt idx="30">
                  <c:v>6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3</c:v>
                </c:pt>
                <c:pt idx="35">
                  <c:v>37</c:v>
                </c:pt>
                <c:pt idx="36">
                  <c:v>11</c:v>
                </c:pt>
                <c:pt idx="37">
                  <c:v>2</c:v>
                </c:pt>
                <c:pt idx="38">
                  <c:v>6</c:v>
                </c:pt>
                <c:pt idx="39">
                  <c:v>5</c:v>
                </c:pt>
                <c:pt idx="40">
                  <c:v>6</c:v>
                </c:pt>
                <c:pt idx="41">
                  <c:v>23</c:v>
                </c:pt>
                <c:pt idx="42">
                  <c:v>2</c:v>
                </c:pt>
                <c:pt idx="4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4-4022-BB68-9E4757D06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115240"/>
        <c:axId val="528118192"/>
      </c:barChart>
      <c:catAx>
        <c:axId val="528115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8118192"/>
        <c:crosses val="autoZero"/>
        <c:auto val="1"/>
        <c:lblAlgn val="ctr"/>
        <c:lblOffset val="100"/>
        <c:noMultiLvlLbl val="0"/>
      </c:catAx>
      <c:valAx>
        <c:axId val="5281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81152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bg1">
              <a:lumMod val="95000"/>
            </a:schemeClr>
          </a:solidFill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aseline="0"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2680</xdr:colOff>
      <xdr:row>57</xdr:row>
      <xdr:rowOff>184596</xdr:rowOff>
    </xdr:from>
    <xdr:to>
      <xdr:col>15</xdr:col>
      <xdr:colOff>1695450</xdr:colOff>
      <xdr:row>83</xdr:row>
      <xdr:rowOff>127000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47624</xdr:colOff>
      <xdr:row>117</xdr:row>
      <xdr:rowOff>-1</xdr:rowOff>
    </xdr:from>
    <xdr:to>
      <xdr:col>16</xdr:col>
      <xdr:colOff>19050</xdr:colOff>
      <xdr:row>145</xdr:row>
      <xdr:rowOff>142874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38100</xdr:colOff>
      <xdr:row>1</xdr:row>
      <xdr:rowOff>19050</xdr:rowOff>
    </xdr:from>
    <xdr:to>
      <xdr:col>15</xdr:col>
      <xdr:colOff>1695450</xdr:colOff>
      <xdr:row>26</xdr:row>
      <xdr:rowOff>19050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</xdr:colOff>
      <xdr:row>28</xdr:row>
      <xdr:rowOff>38100</xdr:rowOff>
    </xdr:from>
    <xdr:to>
      <xdr:col>16</xdr:col>
      <xdr:colOff>0</xdr:colOff>
      <xdr:row>55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1885950</xdr:colOff>
      <xdr:row>86</xdr:row>
      <xdr:rowOff>38100</xdr:rowOff>
    </xdr:from>
    <xdr:to>
      <xdr:col>15</xdr:col>
      <xdr:colOff>1695450</xdr:colOff>
      <xdr:row>115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41413</xdr:colOff>
      <xdr:row>59</xdr:row>
      <xdr:rowOff>33406</xdr:rowOff>
    </xdr:from>
    <xdr:to>
      <xdr:col>34</xdr:col>
      <xdr:colOff>866914</xdr:colOff>
      <xdr:row>89</xdr:row>
      <xdr:rowOff>58806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social" refreshedDate="46234.678757175927" backgroundQuery="1" createdVersion="6" refreshedVersion="6" minRefreshableVersion="3" recordCount="0" supportSubquery="1" supportAdvancedDrill="1" xr:uid="{00000000-000A-0000-FFFF-FFFF00000000}">
  <cacheSource type="external" connectionId="1"/>
  <cacheFields count="2">
    <cacheField name="[Measures].[Recuento de Empresa 2]" caption="Recuento de Empresa 2" numFmtId="0" hierarchy="30" level="32767"/>
    <cacheField name="[Tabla13].[Tamaño].[Tamaño]" caption="Tamaño" numFmtId="0" hierarchy="19" level="1">
      <sharedItems containsBlank="1" count="5">
        <m/>
        <s v="Grande 251 - En adelante"/>
        <s v="Mediana 51 -250"/>
        <s v="Micro 1 - 10"/>
        <s v="Pequeña 11 - 50"/>
      </sharedItems>
    </cacheField>
  </cacheFields>
  <cacheHierarchies count="32">
    <cacheHierarchy uniqueName="[Rango].[Empresa]" caption="Empresa" attribute="1" defaultMemberUniqueName="[Rango].[Empresa].[All]" allUniqueName="[Rango].[Empresa].[All]" dimensionUniqueName="[Rango]" displayFolder="" count="0" memberValueDatatype="130" unbalanced="0"/>
    <cacheHierarchy uniqueName="[Rango].[Nombre completo de quien firma (Iniciando por apellidos, nombre)]" caption="Nombre completo de quien firma (Iniciando por apellidos, nombre)" attribute="1" defaultMemberUniqueName="[Rango].[Nombre completo de quien firma (Iniciando por apellidos, nombre)].[All]" allUniqueName="[Rango].[Nombre completo de quien firma (Iniciando por apellidos, nombre)].[All]" dimensionUniqueName="[Rango]" displayFolder="" count="0" memberValueDatatype="130" unbalanced="0"/>
    <cacheHierarchy uniqueName="[Rango].[Tipo de empresa según ambito]" caption="Tipo de empresa según ambito" attribute="1" defaultMemberUniqueName="[Rango].[Tipo de empresa según ambito].[All]" allUniqueName="[Rango].[Tipo de empresa según ambito].[All]" dimensionUniqueName="[Rango]" displayFolder="" count="0" memberValueDatatype="130" unbalanced="0"/>
    <cacheHierarchy uniqueName="[Rango].[Tamaño]" caption="Tamaño" attribute="1" defaultMemberUniqueName="[Rango].[Tamaño].[All]" allUniqueName="[Rango].[Tamaño].[All]" dimensionUniqueName="[Rango]" displayFolder="" count="0" memberValueDatatype="130" unbalanced="0"/>
    <cacheHierarchy uniqueName="[Rango].[Sector]" caption="Sector" attribute="1" defaultMemberUniqueName="[Rango].[Sector].[All]" allUniqueName="[Rango].[Sector].[All]" dimensionUniqueName="[Rango]" displayFolder="" count="0" memberValueDatatype="130" unbalanced="0"/>
    <cacheHierarchy uniqueName="[Rango].[Servicio]" caption="Servicio" attribute="1" defaultMemberUniqueName="[Rango].[Servicio].[All]" allUniqueName="[Rango].[Servicio].[All]" dimensionUniqueName="[Rango]" displayFolder="" count="0" memberValueDatatype="130" unbalanced="0"/>
    <cacheHierarchy uniqueName="[Rango].[Estado]" caption="Estado" attribute="1" defaultMemberUniqueName="[Rango].[Estado].[All]" allUniqueName="[Rango].[Estado].[All]" dimensionUniqueName="[Rango]" displayFolder="" count="0" memberValueDatatype="130" unbalanced="0"/>
    <cacheHierarchy uniqueName="[Rango].[Municipio]" caption="Municipio" attribute="1" defaultMemberUniqueName="[Rango].[Municipio].[All]" allUniqueName="[Rango].[Municipio].[All]" dimensionUniqueName="[Rango]" displayFolder="" count="0" memberValueDatatype="130" unbalanced="0"/>
    <cacheHierarchy uniqueName="[Tabla1].[Empresa]" caption="Empresa" attribute="1" defaultMemberUniqueName="[Tabla1].[Empresa].[All]" allUniqueName="[Tabla1].[Empresa].[All]" dimensionUniqueName="[Tabla1]" displayFolder="" count="0" memberValueDatatype="130" unbalanced="0"/>
    <cacheHierarchy uniqueName="[Tabla1].[Nombre completo de quien firma (Iniciando por apellidos, nombre)]" caption="Nombre completo de quien firma (Iniciando por apellidos, nombre)" attribute="1" defaultMemberUniqueName="[Tabla1].[Nombre completo de quien firma (Iniciando por apellidos, nombre)].[All]" allUniqueName="[Tabla1].[Nombre completo de quien firma (Iniciando por apellidos, nombre)].[All]" dimensionUniqueName="[Tabla1]" displayFolder="" count="0" memberValueDatatype="130" unbalanced="0"/>
    <cacheHierarchy uniqueName="[Tabla1].[Tipo de empresa según ambito]" caption="Tipo de empresa según ambito" attribute="1" defaultMemberUniqueName="[Tabla1].[Tipo de empresa según ambito].[All]" allUniqueName="[Tabla1].[Tipo de empresa según ambito].[All]" dimensionUniqueName="[Tabla1]" displayFolder="" count="0" memberValueDatatype="130" unbalanced="0"/>
    <cacheHierarchy uniqueName="[Tabla1].[Tamaño]" caption="Tamaño" attribute="1" defaultMemberUniqueName="[Tabla1].[Tamaño].[All]" allUniqueName="[Tabla1].[Tamaño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0" memberValueDatatype="130" unbalanced="0"/>
    <cacheHierarchy uniqueName="[Tabla1].[Servicio]" caption="Servicio" attribute="1" defaultMemberUniqueName="[Tabla1].[Servicio].[All]" allUniqueName="[Tabla1].[Servicio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Municipio]" caption="Municipio" attribute="1" defaultMemberUniqueName="[Tabla1].[Municipio].[All]" allUniqueName="[Tabla1].[Municipio].[All]" dimensionUniqueName="[Tabla1]" displayFolder="" count="0" memberValueDatatype="130" unbalanced="0"/>
    <cacheHierarchy uniqueName="[Tabla13].[Empresa]" caption="Empresa" attribute="1" defaultMemberUniqueName="[Tabla13].[Empresa].[All]" allUniqueName="[Tabla13].[Empresa].[All]" dimensionUniqueName="[Tabla13]" displayFolder="" count="0" memberValueDatatype="130" unbalanced="0"/>
    <cacheHierarchy uniqueName="[Tabla13].[Nombre completo de quien firma (Iniciando por apellidos, nombre)]" caption="Nombre completo de quien firma (Iniciando por apellidos, nombre)" attribute="1" defaultMemberUniqueName="[Tabla13].[Nombre completo de quien firma (Iniciando por apellidos, nombre)].[All]" allUniqueName="[Tabla13].[Nombre completo de quien firma (Iniciando por apellidos, nombre)].[All]" dimensionUniqueName="[Tabla13]" displayFolder="" count="0" memberValueDatatype="130" unbalanced="0"/>
    <cacheHierarchy uniqueName="[Tabla13].[Tipo de empresa según ambito]" caption="Tipo de empresa según ambito" attribute="1" defaultMemberUniqueName="[Tabla13].[Tipo de empresa según ambito].[All]" allUniqueName="[Tabla13].[Tipo de empresa según ambito].[All]" dimensionUniqueName="[Tabla13]" displayFolder="" count="0" memberValueDatatype="130" unbalanced="0"/>
    <cacheHierarchy uniqueName="[Tabla13].[Tamaño]" caption="Tamaño" attribute="1" defaultMemberUniqueName="[Tabla13].[Tamaño].[All]" allUniqueName="[Tabla13].[Tamaño].[All]" dimensionUniqueName="[Tabla13]" displayFolder="" count="2" memberValueDatatype="130" unbalanced="0">
      <fieldsUsage count="2">
        <fieldUsage x="-1"/>
        <fieldUsage x="1"/>
      </fieldsUsage>
    </cacheHierarchy>
    <cacheHierarchy uniqueName="[Tabla13].[Sector]" caption="Sector" attribute="1" defaultMemberUniqueName="[Tabla13].[Sector].[All]" allUniqueName="[Tabla13].[Sector].[All]" dimensionUniqueName="[Tabla13]" displayFolder="" count="0" memberValueDatatype="130" unbalanced="0"/>
    <cacheHierarchy uniqueName="[Tabla13].[Servicio]" caption="Servicio" attribute="1" defaultMemberUniqueName="[Tabla13].[Servicio].[All]" allUniqueName="[Tabla13].[Servicio].[All]" dimensionUniqueName="[Tabla13]" displayFolder="" count="0" memberValueDatatype="130" unbalanced="0"/>
    <cacheHierarchy uniqueName="[Tabla13].[Estado]" caption="Estado" attribute="1" defaultMemberUniqueName="[Tabla13].[Estado].[All]" allUniqueName="[Tabla13].[Estado].[All]" dimensionUniqueName="[Tabla13]" displayFolder="" count="0" memberValueDatatype="130" unbalanced="0"/>
    <cacheHierarchy uniqueName="[Tabla13].[Municipio]" caption="Municipio" attribute="1" defaultMemberUniqueName="[Tabla13].[Municipio].[All]" allUniqueName="[Tabla13].[Municipio].[All]" dimensionUniqueName="[Tabla13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XL_Count Tabla13]" caption="__XL_Count Tabla13" measure="1" displayFolder="" measureGroup="Tabla13" count="0" hidden="1"/>
    <cacheHierarchy uniqueName="[Measures].[__No measures defined]" caption="__No measures defined" measure="1" displayFolder="" count="0" hidden="1"/>
    <cacheHierarchy uniqueName="[Measures].[Recuento de Empresa]" caption="Recuento de Empresa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Empresa 3]" caption="Recuento de Empresa 3" measure="1" displayFolder="" measureGroup="Tab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mpresa 2]" caption="Recuento de Empresa 2" measure="1" displayFolder="" measureGroup="Tabla1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Estado]" caption="Recuento de Estado" measure="1" displayFolder="" measureGroup="Tabla1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Tabla1" uniqueName="[Tabla1]" caption="Tabla1"/>
    <dimension name="Tabla13" uniqueName="[Tabla13]" caption="Tabla13"/>
  </dimensions>
  <measureGroups count="3">
    <measureGroup name="Rango" caption="Rango"/>
    <measureGroup name="Tabla1" caption="Tabla1"/>
    <measureGroup name="Tabla13" caption="Tabla1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social" refreshedDate="46234.675249305554" backgroundQuery="1" createdVersion="6" refreshedVersion="6" minRefreshableVersion="3" recordCount="0" supportSubquery="1" supportAdvancedDrill="1" xr:uid="{00000000-000A-0000-FFFF-FFFF01000000}">
  <cacheSource type="external" connectionId="1"/>
  <cacheFields count="2">
    <cacheField name="[Measures].[Recuento de Empresa 2]" caption="Recuento de Empresa 2" numFmtId="0" hierarchy="30" level="32767"/>
    <cacheField name="[Tabla13].[Tipo de empresa según ambito].[Tipo de empresa según ambito]" caption="Tipo de empresa según ambito" numFmtId="0" hierarchy="18" level="1">
      <sharedItems containsBlank="1" count="5">
        <m/>
        <s v="Local"/>
        <s v="Multinacional-Internacional"/>
        <s v="Nacional"/>
        <s v="Trasnacional"/>
      </sharedItems>
    </cacheField>
  </cacheFields>
  <cacheHierarchies count="32">
    <cacheHierarchy uniqueName="[Rango].[Empresa]" caption="Empresa" attribute="1" defaultMemberUniqueName="[Rango].[Empresa].[All]" allUniqueName="[Rango].[Empresa].[All]" dimensionUniqueName="[Rango]" displayFolder="" count="0" memberValueDatatype="130" unbalanced="0"/>
    <cacheHierarchy uniqueName="[Rango].[Nombre completo de quien firma (Iniciando por apellidos, nombre)]" caption="Nombre completo de quien firma (Iniciando por apellidos, nombre)" attribute="1" defaultMemberUniqueName="[Rango].[Nombre completo de quien firma (Iniciando por apellidos, nombre)].[All]" allUniqueName="[Rango].[Nombre completo de quien firma (Iniciando por apellidos, nombre)].[All]" dimensionUniqueName="[Rango]" displayFolder="" count="0" memberValueDatatype="130" unbalanced="0"/>
    <cacheHierarchy uniqueName="[Rango].[Tipo de empresa según ambito]" caption="Tipo de empresa según ambito" attribute="1" defaultMemberUniqueName="[Rango].[Tipo de empresa según ambito].[All]" allUniqueName="[Rango].[Tipo de empresa según ambito].[All]" dimensionUniqueName="[Rango]" displayFolder="" count="0" memberValueDatatype="130" unbalanced="0"/>
    <cacheHierarchy uniqueName="[Rango].[Tamaño]" caption="Tamaño" attribute="1" defaultMemberUniqueName="[Rango].[Tamaño].[All]" allUniqueName="[Rango].[Tamaño].[All]" dimensionUniqueName="[Rango]" displayFolder="" count="0" memberValueDatatype="130" unbalanced="0"/>
    <cacheHierarchy uniqueName="[Rango].[Sector]" caption="Sector" attribute="1" defaultMemberUniqueName="[Rango].[Sector].[All]" allUniqueName="[Rango].[Sector].[All]" dimensionUniqueName="[Rango]" displayFolder="" count="0" memberValueDatatype="130" unbalanced="0"/>
    <cacheHierarchy uniqueName="[Rango].[Servicio]" caption="Servicio" attribute="1" defaultMemberUniqueName="[Rango].[Servicio].[All]" allUniqueName="[Rango].[Servicio].[All]" dimensionUniqueName="[Rango]" displayFolder="" count="0" memberValueDatatype="130" unbalanced="0"/>
    <cacheHierarchy uniqueName="[Rango].[Estado]" caption="Estado" attribute="1" defaultMemberUniqueName="[Rango].[Estado].[All]" allUniqueName="[Rango].[Estado].[All]" dimensionUniqueName="[Rango]" displayFolder="" count="0" memberValueDatatype="130" unbalanced="0"/>
    <cacheHierarchy uniqueName="[Rango].[Municipio]" caption="Municipio" attribute="1" defaultMemberUniqueName="[Rango].[Municipio].[All]" allUniqueName="[Rango].[Municipio].[All]" dimensionUniqueName="[Rango]" displayFolder="" count="0" memberValueDatatype="130" unbalanced="0"/>
    <cacheHierarchy uniqueName="[Tabla1].[Empresa]" caption="Empresa" attribute="1" defaultMemberUniqueName="[Tabla1].[Empresa].[All]" allUniqueName="[Tabla1].[Empresa].[All]" dimensionUniqueName="[Tabla1]" displayFolder="" count="0" memberValueDatatype="130" unbalanced="0"/>
    <cacheHierarchy uniqueName="[Tabla1].[Nombre completo de quien firma (Iniciando por apellidos, nombre)]" caption="Nombre completo de quien firma (Iniciando por apellidos, nombre)" attribute="1" defaultMemberUniqueName="[Tabla1].[Nombre completo de quien firma (Iniciando por apellidos, nombre)].[All]" allUniqueName="[Tabla1].[Nombre completo de quien firma (Iniciando por apellidos, nombre)].[All]" dimensionUniqueName="[Tabla1]" displayFolder="" count="0" memberValueDatatype="130" unbalanced="0"/>
    <cacheHierarchy uniqueName="[Tabla1].[Tipo de empresa según ambito]" caption="Tipo de empresa según ambito" attribute="1" defaultMemberUniqueName="[Tabla1].[Tipo de empresa según ambito].[All]" allUniqueName="[Tabla1].[Tipo de empresa según ambito].[All]" dimensionUniqueName="[Tabla1]" displayFolder="" count="0" memberValueDatatype="130" unbalanced="0"/>
    <cacheHierarchy uniqueName="[Tabla1].[Tamaño]" caption="Tamaño" attribute="1" defaultMemberUniqueName="[Tabla1].[Tamaño].[All]" allUniqueName="[Tabla1].[Tamaño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0" memberValueDatatype="130" unbalanced="0"/>
    <cacheHierarchy uniqueName="[Tabla1].[Servicio]" caption="Servicio" attribute="1" defaultMemberUniqueName="[Tabla1].[Servicio].[All]" allUniqueName="[Tabla1].[Servicio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Municipio]" caption="Municipio" attribute="1" defaultMemberUniqueName="[Tabla1].[Municipio].[All]" allUniqueName="[Tabla1].[Municipio].[All]" dimensionUniqueName="[Tabla1]" displayFolder="" count="0" memberValueDatatype="130" unbalanced="0"/>
    <cacheHierarchy uniqueName="[Tabla13].[Empresa]" caption="Empresa" attribute="1" defaultMemberUniqueName="[Tabla13].[Empresa].[All]" allUniqueName="[Tabla13].[Empresa].[All]" dimensionUniqueName="[Tabla13]" displayFolder="" count="0" memberValueDatatype="130" unbalanced="0"/>
    <cacheHierarchy uniqueName="[Tabla13].[Nombre completo de quien firma (Iniciando por apellidos, nombre)]" caption="Nombre completo de quien firma (Iniciando por apellidos, nombre)" attribute="1" defaultMemberUniqueName="[Tabla13].[Nombre completo de quien firma (Iniciando por apellidos, nombre)].[All]" allUniqueName="[Tabla13].[Nombre completo de quien firma (Iniciando por apellidos, nombre)].[All]" dimensionUniqueName="[Tabla13]" displayFolder="" count="0" memberValueDatatype="130" unbalanced="0"/>
    <cacheHierarchy uniqueName="[Tabla13].[Tipo de empresa según ambito]" caption="Tipo de empresa según ambito" attribute="1" defaultMemberUniqueName="[Tabla13].[Tipo de empresa según ambito].[All]" allUniqueName="[Tabla13].[Tipo de empresa según ambito].[All]" dimensionUniqueName="[Tabla13]" displayFolder="" count="2" memberValueDatatype="130" unbalanced="0">
      <fieldsUsage count="2">
        <fieldUsage x="-1"/>
        <fieldUsage x="1"/>
      </fieldsUsage>
    </cacheHierarchy>
    <cacheHierarchy uniqueName="[Tabla13].[Tamaño]" caption="Tamaño" attribute="1" defaultMemberUniqueName="[Tabla13].[Tamaño].[All]" allUniqueName="[Tabla13].[Tamaño].[All]" dimensionUniqueName="[Tabla13]" displayFolder="" count="0" memberValueDatatype="130" unbalanced="0"/>
    <cacheHierarchy uniqueName="[Tabla13].[Sector]" caption="Sector" attribute="1" defaultMemberUniqueName="[Tabla13].[Sector].[All]" allUniqueName="[Tabla13].[Sector].[All]" dimensionUniqueName="[Tabla13]" displayFolder="" count="0" memberValueDatatype="130" unbalanced="0"/>
    <cacheHierarchy uniqueName="[Tabla13].[Servicio]" caption="Servicio" attribute="1" defaultMemberUniqueName="[Tabla13].[Servicio].[All]" allUniqueName="[Tabla13].[Servicio].[All]" dimensionUniqueName="[Tabla13]" displayFolder="" count="0" memberValueDatatype="130" unbalanced="0"/>
    <cacheHierarchy uniqueName="[Tabla13].[Estado]" caption="Estado" attribute="1" defaultMemberUniqueName="[Tabla13].[Estado].[All]" allUniqueName="[Tabla13].[Estado].[All]" dimensionUniqueName="[Tabla13]" displayFolder="" count="0" memberValueDatatype="130" unbalanced="0"/>
    <cacheHierarchy uniqueName="[Tabla13].[Municipio]" caption="Municipio" attribute="1" defaultMemberUniqueName="[Tabla13].[Municipio].[All]" allUniqueName="[Tabla13].[Municipio].[All]" dimensionUniqueName="[Tabla13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XL_Count Tabla13]" caption="__XL_Count Tabla13" measure="1" displayFolder="" measureGroup="Tabla13" count="0" hidden="1"/>
    <cacheHierarchy uniqueName="[Measures].[__No measures defined]" caption="__No measures defined" measure="1" displayFolder="" count="0" hidden="1"/>
    <cacheHierarchy uniqueName="[Measures].[Recuento de Empresa]" caption="Recuento de Empresa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Empresa 3]" caption="Recuento de Empresa 3" measure="1" displayFolder="" measureGroup="Tab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mpresa 2]" caption="Recuento de Empresa 2" measure="1" displayFolder="" measureGroup="Tabla1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Estado]" caption="Recuento de Estado" measure="1" displayFolder="" measureGroup="Tabla1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Tabla1" uniqueName="[Tabla1]" caption="Tabla1"/>
    <dimension name="Tabla13" uniqueName="[Tabla13]" caption="Tabla13"/>
  </dimensions>
  <measureGroups count="3">
    <measureGroup name="Rango" caption="Rango"/>
    <measureGroup name="Tabla1" caption="Tabla1"/>
    <measureGroup name="Tabla13" caption="Tabla1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social" refreshedDate="46234.671804050929" backgroundQuery="1" createdVersion="6" refreshedVersion="6" minRefreshableVersion="3" recordCount="0" supportSubquery="1" supportAdvancedDrill="1" xr:uid="{00000000-000A-0000-FFFF-FFFF02000000}">
  <cacheSource type="external" connectionId="1"/>
  <cacheFields count="2">
    <cacheField name="[Measures].[Recuento de Empresa 2]" caption="Recuento de Empresa 2" numFmtId="0" hierarchy="30" level="32767"/>
    <cacheField name="[Tabla13].[Municipio].[Municipio]" caption="Municipio" numFmtId="0" hierarchy="23" level="1">
      <sharedItems containsBlank="1" count="18">
        <m/>
        <s v="Altamira"/>
        <s v="Apodaca"/>
        <s v="Cadereyta"/>
        <s v="Cerralvo"/>
        <s v="Cienega de Flores"/>
        <s v="DELEGACION AZCAPOTZALCO"/>
        <s v="Garcia"/>
        <s v="General Escobedo"/>
        <s v="Guadalupe"/>
        <s v="Linares"/>
        <s v="Monterrey"/>
        <s v="n/a"/>
        <s v="Pesqueria"/>
        <s v="Sabinas Hidalgo"/>
        <s v="San Nicolas de los Garza"/>
        <s v="San Pedro Garza Garcia"/>
        <s v="Santa Catarina"/>
      </sharedItems>
    </cacheField>
  </cacheFields>
  <cacheHierarchies count="32">
    <cacheHierarchy uniqueName="[Rango].[Empresa]" caption="Empresa" attribute="1" defaultMemberUniqueName="[Rango].[Empresa].[All]" allUniqueName="[Rango].[Empresa].[All]" dimensionUniqueName="[Rango]" displayFolder="" count="0" memberValueDatatype="130" unbalanced="0"/>
    <cacheHierarchy uniqueName="[Rango].[Nombre completo de quien firma (Iniciando por apellidos, nombre)]" caption="Nombre completo de quien firma (Iniciando por apellidos, nombre)" attribute="1" defaultMemberUniqueName="[Rango].[Nombre completo de quien firma (Iniciando por apellidos, nombre)].[All]" allUniqueName="[Rango].[Nombre completo de quien firma (Iniciando por apellidos, nombre)].[All]" dimensionUniqueName="[Rango]" displayFolder="" count="0" memberValueDatatype="130" unbalanced="0"/>
    <cacheHierarchy uniqueName="[Rango].[Tipo de empresa según ambito]" caption="Tipo de empresa según ambito" attribute="1" defaultMemberUniqueName="[Rango].[Tipo de empresa según ambito].[All]" allUniqueName="[Rango].[Tipo de empresa según ambito].[All]" dimensionUniqueName="[Rango]" displayFolder="" count="0" memberValueDatatype="130" unbalanced="0"/>
    <cacheHierarchy uniqueName="[Rango].[Tamaño]" caption="Tamaño" attribute="1" defaultMemberUniqueName="[Rango].[Tamaño].[All]" allUniqueName="[Rango].[Tamaño].[All]" dimensionUniqueName="[Rango]" displayFolder="" count="0" memberValueDatatype="130" unbalanced="0"/>
    <cacheHierarchy uniqueName="[Rango].[Sector]" caption="Sector" attribute="1" defaultMemberUniqueName="[Rango].[Sector].[All]" allUniqueName="[Rango].[Sector].[All]" dimensionUniqueName="[Rango]" displayFolder="" count="0" memberValueDatatype="130" unbalanced="0"/>
    <cacheHierarchy uniqueName="[Rango].[Servicio]" caption="Servicio" attribute="1" defaultMemberUniqueName="[Rango].[Servicio].[All]" allUniqueName="[Rango].[Servicio].[All]" dimensionUniqueName="[Rango]" displayFolder="" count="0" memberValueDatatype="130" unbalanced="0"/>
    <cacheHierarchy uniqueName="[Rango].[Estado]" caption="Estado" attribute="1" defaultMemberUniqueName="[Rango].[Estado].[All]" allUniqueName="[Rango].[Estado].[All]" dimensionUniqueName="[Rango]" displayFolder="" count="0" memberValueDatatype="130" unbalanced="0"/>
    <cacheHierarchy uniqueName="[Rango].[Municipio]" caption="Municipio" attribute="1" defaultMemberUniqueName="[Rango].[Municipio].[All]" allUniqueName="[Rango].[Municipio].[All]" dimensionUniqueName="[Rango]" displayFolder="" count="0" memberValueDatatype="130" unbalanced="0"/>
    <cacheHierarchy uniqueName="[Tabla1].[Empresa]" caption="Empresa" attribute="1" defaultMemberUniqueName="[Tabla1].[Empresa].[All]" allUniqueName="[Tabla1].[Empresa].[All]" dimensionUniqueName="[Tabla1]" displayFolder="" count="0" memberValueDatatype="130" unbalanced="0"/>
    <cacheHierarchy uniqueName="[Tabla1].[Nombre completo de quien firma (Iniciando por apellidos, nombre)]" caption="Nombre completo de quien firma (Iniciando por apellidos, nombre)" attribute="1" defaultMemberUniqueName="[Tabla1].[Nombre completo de quien firma (Iniciando por apellidos, nombre)].[All]" allUniqueName="[Tabla1].[Nombre completo de quien firma (Iniciando por apellidos, nombre)].[All]" dimensionUniqueName="[Tabla1]" displayFolder="" count="0" memberValueDatatype="130" unbalanced="0"/>
    <cacheHierarchy uniqueName="[Tabla1].[Tipo de empresa según ambito]" caption="Tipo de empresa según ambito" attribute="1" defaultMemberUniqueName="[Tabla1].[Tipo de empresa según ambito].[All]" allUniqueName="[Tabla1].[Tipo de empresa según ambito].[All]" dimensionUniqueName="[Tabla1]" displayFolder="" count="0" memberValueDatatype="130" unbalanced="0"/>
    <cacheHierarchy uniqueName="[Tabla1].[Tamaño]" caption="Tamaño" attribute="1" defaultMemberUniqueName="[Tabla1].[Tamaño].[All]" allUniqueName="[Tabla1].[Tamaño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0" memberValueDatatype="130" unbalanced="0"/>
    <cacheHierarchy uniqueName="[Tabla1].[Servicio]" caption="Servicio" attribute="1" defaultMemberUniqueName="[Tabla1].[Servicio].[All]" allUniqueName="[Tabla1].[Servicio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Municipio]" caption="Municipio" attribute="1" defaultMemberUniqueName="[Tabla1].[Municipio].[All]" allUniqueName="[Tabla1].[Municipio].[All]" dimensionUniqueName="[Tabla1]" displayFolder="" count="0" memberValueDatatype="130" unbalanced="0"/>
    <cacheHierarchy uniqueName="[Tabla13].[Empresa]" caption="Empresa" attribute="1" defaultMemberUniqueName="[Tabla13].[Empresa].[All]" allUniqueName="[Tabla13].[Empresa].[All]" dimensionUniqueName="[Tabla13]" displayFolder="" count="0" memberValueDatatype="130" unbalanced="0"/>
    <cacheHierarchy uniqueName="[Tabla13].[Nombre completo de quien firma (Iniciando por apellidos, nombre)]" caption="Nombre completo de quien firma (Iniciando por apellidos, nombre)" attribute="1" defaultMemberUniqueName="[Tabla13].[Nombre completo de quien firma (Iniciando por apellidos, nombre)].[All]" allUniqueName="[Tabla13].[Nombre completo de quien firma (Iniciando por apellidos, nombre)].[All]" dimensionUniqueName="[Tabla13]" displayFolder="" count="0" memberValueDatatype="130" unbalanced="0"/>
    <cacheHierarchy uniqueName="[Tabla13].[Tipo de empresa según ambito]" caption="Tipo de empresa según ambito" attribute="1" defaultMemberUniqueName="[Tabla13].[Tipo de empresa según ambito].[All]" allUniqueName="[Tabla13].[Tipo de empresa según ambito].[All]" dimensionUniqueName="[Tabla13]" displayFolder="" count="0" memberValueDatatype="130" unbalanced="0"/>
    <cacheHierarchy uniqueName="[Tabla13].[Tamaño]" caption="Tamaño" attribute="1" defaultMemberUniqueName="[Tabla13].[Tamaño].[All]" allUniqueName="[Tabla13].[Tamaño].[All]" dimensionUniqueName="[Tabla13]" displayFolder="" count="0" memberValueDatatype="130" unbalanced="0"/>
    <cacheHierarchy uniqueName="[Tabla13].[Sector]" caption="Sector" attribute="1" defaultMemberUniqueName="[Tabla13].[Sector].[All]" allUniqueName="[Tabla13].[Sector].[All]" dimensionUniqueName="[Tabla13]" displayFolder="" count="0" memberValueDatatype="130" unbalanced="0"/>
    <cacheHierarchy uniqueName="[Tabla13].[Servicio]" caption="Servicio" attribute="1" defaultMemberUniqueName="[Tabla13].[Servicio].[All]" allUniqueName="[Tabla13].[Servicio].[All]" dimensionUniqueName="[Tabla13]" displayFolder="" count="0" memberValueDatatype="130" unbalanced="0"/>
    <cacheHierarchy uniqueName="[Tabla13].[Estado]" caption="Estado" attribute="1" defaultMemberUniqueName="[Tabla13].[Estado].[All]" allUniqueName="[Tabla13].[Estado].[All]" dimensionUniqueName="[Tabla13]" displayFolder="" count="0" memberValueDatatype="130" unbalanced="0"/>
    <cacheHierarchy uniqueName="[Tabla13].[Municipio]" caption="Municipio" attribute="1" defaultMemberUniqueName="[Tabla13].[Municipio].[All]" allUniqueName="[Tabla13].[Municipio].[All]" dimensionUniqueName="[Tabla13]" displayFolder="" count="2" memberValueDatatype="130" unbalanced="0">
      <fieldsUsage count="2">
        <fieldUsage x="-1"/>
        <fieldUsage x="1"/>
      </fieldsUsage>
    </cacheHierarchy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XL_Count Tabla13]" caption="__XL_Count Tabla13" measure="1" displayFolder="" measureGroup="Tabla13" count="0" hidden="1"/>
    <cacheHierarchy uniqueName="[Measures].[__No measures defined]" caption="__No measures defined" measure="1" displayFolder="" count="0" hidden="1"/>
    <cacheHierarchy uniqueName="[Measures].[Recuento de Empresa]" caption="Recuento de Empresa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Empresa 3]" caption="Recuento de Empresa 3" measure="1" displayFolder="" measureGroup="Tab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mpresa 2]" caption="Recuento de Empresa 2" measure="1" displayFolder="" measureGroup="Tabla1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Estado]" caption="Recuento de Estado" measure="1" displayFolder="" measureGroup="Tabla1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Tabla1" uniqueName="[Tabla1]" caption="Tabla1"/>
    <dimension name="Tabla13" uniqueName="[Tabla13]" caption="Tabla13"/>
  </dimensions>
  <measureGroups count="3">
    <measureGroup name="Rango" caption="Rango"/>
    <measureGroup name="Tabla1" caption="Tabla1"/>
    <measureGroup name="Tabla13" caption="Tabla1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social" refreshedDate="46233.741068171294" backgroundQuery="1" createdVersion="6" refreshedVersion="6" minRefreshableVersion="3" recordCount="0" supportSubquery="1" supportAdvancedDrill="1" xr:uid="{00000000-000A-0000-FFFF-FFFF03000000}">
  <cacheSource type="external" connectionId="1"/>
  <cacheFields count="2">
    <cacheField name="[Measures].[Recuento de Empresa 3]" caption="Recuento de Empresa 3" numFmtId="0" hierarchy="29" level="32767"/>
    <cacheField name="[Tabla1].[Sector].[Sector]" caption="Sector" numFmtId="0" hierarchy="12" level="1">
      <sharedItems containsBlank="1" count="5">
        <m/>
        <s v="Educativo"/>
        <s v="Privado"/>
        <s v="Público"/>
        <s v="Social"/>
      </sharedItems>
    </cacheField>
  </cacheFields>
  <cacheHierarchies count="32">
    <cacheHierarchy uniqueName="[Rango].[Empresa]" caption="Empresa" attribute="1" defaultMemberUniqueName="[Rango].[Empresa].[All]" allUniqueName="[Rango].[Empresa].[All]" dimensionUniqueName="[Rango]" displayFolder="" count="0" memberValueDatatype="130" unbalanced="0"/>
    <cacheHierarchy uniqueName="[Rango].[Nombre completo de quien firma (Iniciando por apellidos, nombre)]" caption="Nombre completo de quien firma (Iniciando por apellidos, nombre)" attribute="1" defaultMemberUniqueName="[Rango].[Nombre completo de quien firma (Iniciando por apellidos, nombre)].[All]" allUniqueName="[Rango].[Nombre completo de quien firma (Iniciando por apellidos, nombre)].[All]" dimensionUniqueName="[Rango]" displayFolder="" count="0" memberValueDatatype="130" unbalanced="0"/>
    <cacheHierarchy uniqueName="[Rango].[Tipo de empresa según ambito]" caption="Tipo de empresa según ambito" attribute="1" defaultMemberUniqueName="[Rango].[Tipo de empresa según ambito].[All]" allUniqueName="[Rango].[Tipo de empresa según ambito].[All]" dimensionUniqueName="[Rango]" displayFolder="" count="0" memberValueDatatype="130" unbalanced="0"/>
    <cacheHierarchy uniqueName="[Rango].[Tamaño]" caption="Tamaño" attribute="1" defaultMemberUniqueName="[Rango].[Tamaño].[All]" allUniqueName="[Rango].[Tamaño].[All]" dimensionUniqueName="[Rango]" displayFolder="" count="0" memberValueDatatype="130" unbalanced="0"/>
    <cacheHierarchy uniqueName="[Rango].[Sector]" caption="Sector" attribute="1" defaultMemberUniqueName="[Rango].[Sector].[All]" allUniqueName="[Rango].[Sector].[All]" dimensionUniqueName="[Rango]" displayFolder="" count="0" memberValueDatatype="130" unbalanced="0"/>
    <cacheHierarchy uniqueName="[Rango].[Servicio]" caption="Servicio" attribute="1" defaultMemberUniqueName="[Rango].[Servicio].[All]" allUniqueName="[Rango].[Servicio].[All]" dimensionUniqueName="[Rango]" displayFolder="" count="0" memberValueDatatype="130" unbalanced="0"/>
    <cacheHierarchy uniqueName="[Rango].[Estado]" caption="Estado" attribute="1" defaultMemberUniqueName="[Rango].[Estado].[All]" allUniqueName="[Rango].[Estado].[All]" dimensionUniqueName="[Rango]" displayFolder="" count="0" memberValueDatatype="130" unbalanced="0"/>
    <cacheHierarchy uniqueName="[Rango].[Municipio]" caption="Municipio" attribute="1" defaultMemberUniqueName="[Rango].[Municipio].[All]" allUniqueName="[Rango].[Municipio].[All]" dimensionUniqueName="[Rango]" displayFolder="" count="0" memberValueDatatype="130" unbalanced="0"/>
    <cacheHierarchy uniqueName="[Tabla1].[Empresa]" caption="Empresa" attribute="1" defaultMemberUniqueName="[Tabla1].[Empresa].[All]" allUniqueName="[Tabla1].[Empresa].[All]" dimensionUniqueName="[Tabla1]" displayFolder="" count="0" memberValueDatatype="130" unbalanced="0"/>
    <cacheHierarchy uniqueName="[Tabla1].[Nombre completo de quien firma (Iniciando por apellidos, nombre)]" caption="Nombre completo de quien firma (Iniciando por apellidos, nombre)" attribute="1" defaultMemberUniqueName="[Tabla1].[Nombre completo de quien firma (Iniciando por apellidos, nombre)].[All]" allUniqueName="[Tabla1].[Nombre completo de quien firma (Iniciando por apellidos, nombre)].[All]" dimensionUniqueName="[Tabla1]" displayFolder="" count="0" memberValueDatatype="130" unbalanced="0"/>
    <cacheHierarchy uniqueName="[Tabla1].[Tipo de empresa según ambito]" caption="Tipo de empresa según ambito" attribute="1" defaultMemberUniqueName="[Tabla1].[Tipo de empresa según ambito].[All]" allUniqueName="[Tabla1].[Tipo de empresa según ambito].[All]" dimensionUniqueName="[Tabla1]" displayFolder="" count="0" memberValueDatatype="130" unbalanced="0"/>
    <cacheHierarchy uniqueName="[Tabla1].[Tamaño]" caption="Tamaño" attribute="1" defaultMemberUniqueName="[Tabla1].[Tamaño].[All]" allUniqueName="[Tabla1].[Tamaño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Servicio]" caption="Servicio" attribute="1" defaultMemberUniqueName="[Tabla1].[Servicio].[All]" allUniqueName="[Tabla1].[Servicio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Municipio]" caption="Municipio" attribute="1" defaultMemberUniqueName="[Tabla1].[Municipio].[All]" allUniqueName="[Tabla1].[Municipio].[All]" dimensionUniqueName="[Tabla1]" displayFolder="" count="0" memberValueDatatype="130" unbalanced="0"/>
    <cacheHierarchy uniqueName="[Tabla13].[Empresa]" caption="Empresa" attribute="1" defaultMemberUniqueName="[Tabla13].[Empresa].[All]" allUniqueName="[Tabla13].[Empresa].[All]" dimensionUniqueName="[Tabla13]" displayFolder="" count="0" memberValueDatatype="130" unbalanced="0"/>
    <cacheHierarchy uniqueName="[Tabla13].[Nombre completo de quien firma (Iniciando por apellidos, nombre)]" caption="Nombre completo de quien firma (Iniciando por apellidos, nombre)" attribute="1" defaultMemberUniqueName="[Tabla13].[Nombre completo de quien firma (Iniciando por apellidos, nombre)].[All]" allUniqueName="[Tabla13].[Nombre completo de quien firma (Iniciando por apellidos, nombre)].[All]" dimensionUniqueName="[Tabla13]" displayFolder="" count="0" memberValueDatatype="130" unbalanced="0"/>
    <cacheHierarchy uniqueName="[Tabla13].[Tipo de empresa según ambito]" caption="Tipo de empresa según ambito" attribute="1" defaultMemberUniqueName="[Tabla13].[Tipo de empresa según ambito].[All]" allUniqueName="[Tabla13].[Tipo de empresa según ambito].[All]" dimensionUniqueName="[Tabla13]" displayFolder="" count="0" memberValueDatatype="130" unbalanced="0"/>
    <cacheHierarchy uniqueName="[Tabla13].[Tamaño]" caption="Tamaño" attribute="1" defaultMemberUniqueName="[Tabla13].[Tamaño].[All]" allUniqueName="[Tabla13].[Tamaño].[All]" dimensionUniqueName="[Tabla13]" displayFolder="" count="0" memberValueDatatype="130" unbalanced="0"/>
    <cacheHierarchy uniqueName="[Tabla13].[Sector]" caption="Sector" attribute="1" defaultMemberUniqueName="[Tabla13].[Sector].[All]" allUniqueName="[Tabla13].[Sector].[All]" dimensionUniqueName="[Tabla13]" displayFolder="" count="0" memberValueDatatype="130" unbalanced="0"/>
    <cacheHierarchy uniqueName="[Tabla13].[Servicio]" caption="Servicio" attribute="1" defaultMemberUniqueName="[Tabla13].[Servicio].[All]" allUniqueName="[Tabla13].[Servicio].[All]" dimensionUniqueName="[Tabla13]" displayFolder="" count="0" memberValueDatatype="130" unbalanced="0"/>
    <cacheHierarchy uniqueName="[Tabla13].[Estado]" caption="Estado" attribute="1" defaultMemberUniqueName="[Tabla13].[Estado].[All]" allUniqueName="[Tabla13].[Estado].[All]" dimensionUniqueName="[Tabla13]" displayFolder="" count="0" memberValueDatatype="130" unbalanced="0"/>
    <cacheHierarchy uniqueName="[Tabla13].[Municipio]" caption="Municipio" attribute="1" defaultMemberUniqueName="[Tabla13].[Municipio].[All]" allUniqueName="[Tabla13].[Municipio].[All]" dimensionUniqueName="[Tabla13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XL_Count Tabla13]" caption="__XL_Count Tabla13" measure="1" displayFolder="" measureGroup="Tabla13" count="0" hidden="1"/>
    <cacheHierarchy uniqueName="[Measures].[__No measures defined]" caption="__No measures defined" measure="1" displayFolder="" count="0" hidden="1"/>
    <cacheHierarchy uniqueName="[Measures].[Recuento de Empresa]" caption="Recuento de Empresa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Empresa 3]" caption="Recuento de Empresa 3" measure="1" displayFolder="" measureGroup="Tabla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mpresa 2]" caption="Recuento de Empresa 2" measure="1" displayFolder="" measureGroup="Tabla13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Estado]" caption="Recuento de Estado" measure="1" displayFolder="" measureGroup="Tabla1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Tabla1" uniqueName="[Tabla1]" caption="Tabla1"/>
    <dimension name="Tabla13" uniqueName="[Tabla13]" caption="Tabla13"/>
  </dimensions>
  <measureGroups count="3">
    <measureGroup name="Rango" caption="Rango"/>
    <measureGroup name="Tabla1" caption="Tabla1"/>
    <measureGroup name="Tabla13" caption="Tabla1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social" refreshedDate="46234.683459490741" backgroundQuery="1" createdVersion="6" refreshedVersion="6" minRefreshableVersion="3" recordCount="0" supportSubquery="1" supportAdvancedDrill="1" xr:uid="{00000000-000A-0000-FFFF-FFFF04000000}">
  <cacheSource type="external" connectionId="1"/>
  <cacheFields count="2">
    <cacheField name="[Tabla13].[Estado].[Estado]" caption="Estado" numFmtId="0" hierarchy="22" level="1">
      <sharedItems containsBlank="1" count="4">
        <m/>
        <s v="Ciudad de México"/>
        <s v="Nuevo León"/>
        <s v="Tamaulipas"/>
      </sharedItems>
    </cacheField>
    <cacheField name="[Measures].[Recuento de Empresa 2]" caption="Recuento de Empresa 2" numFmtId="0" hierarchy="30" level="32767"/>
  </cacheFields>
  <cacheHierarchies count="32">
    <cacheHierarchy uniqueName="[Rango].[Empresa]" caption="Empresa" attribute="1" defaultMemberUniqueName="[Rango].[Empresa].[All]" allUniqueName="[Rango].[Empresa].[All]" dimensionUniqueName="[Rango]" displayFolder="" count="0" memberValueDatatype="130" unbalanced="0"/>
    <cacheHierarchy uniqueName="[Rango].[Nombre completo de quien firma (Iniciando por apellidos, nombre)]" caption="Nombre completo de quien firma (Iniciando por apellidos, nombre)" attribute="1" defaultMemberUniqueName="[Rango].[Nombre completo de quien firma (Iniciando por apellidos, nombre)].[All]" allUniqueName="[Rango].[Nombre completo de quien firma (Iniciando por apellidos, nombre)].[All]" dimensionUniqueName="[Rango]" displayFolder="" count="0" memberValueDatatype="130" unbalanced="0"/>
    <cacheHierarchy uniqueName="[Rango].[Tipo de empresa según ambito]" caption="Tipo de empresa según ambito" attribute="1" defaultMemberUniqueName="[Rango].[Tipo de empresa según ambito].[All]" allUniqueName="[Rango].[Tipo de empresa según ambito].[All]" dimensionUniqueName="[Rango]" displayFolder="" count="0" memberValueDatatype="130" unbalanced="0"/>
    <cacheHierarchy uniqueName="[Rango].[Tamaño]" caption="Tamaño" attribute="1" defaultMemberUniqueName="[Rango].[Tamaño].[All]" allUniqueName="[Rango].[Tamaño].[All]" dimensionUniqueName="[Rango]" displayFolder="" count="0" memberValueDatatype="130" unbalanced="0"/>
    <cacheHierarchy uniqueName="[Rango].[Sector]" caption="Sector" attribute="1" defaultMemberUniqueName="[Rango].[Sector].[All]" allUniqueName="[Rango].[Sector].[All]" dimensionUniqueName="[Rango]" displayFolder="" count="0" memberValueDatatype="130" unbalanced="0"/>
    <cacheHierarchy uniqueName="[Rango].[Servicio]" caption="Servicio" attribute="1" defaultMemberUniqueName="[Rango].[Servicio].[All]" allUniqueName="[Rango].[Servicio].[All]" dimensionUniqueName="[Rango]" displayFolder="" count="0" memberValueDatatype="130" unbalanced="0"/>
    <cacheHierarchy uniqueName="[Rango].[Estado]" caption="Estado" attribute="1" defaultMemberUniqueName="[Rango].[Estado].[All]" allUniqueName="[Rango].[Estado].[All]" dimensionUniqueName="[Rango]" displayFolder="" count="0" memberValueDatatype="130" unbalanced="0"/>
    <cacheHierarchy uniqueName="[Rango].[Municipio]" caption="Municipio" attribute="1" defaultMemberUniqueName="[Rango].[Municipio].[All]" allUniqueName="[Rango].[Municipio].[All]" dimensionUniqueName="[Rango]" displayFolder="" count="0" memberValueDatatype="130" unbalanced="0"/>
    <cacheHierarchy uniqueName="[Tabla1].[Empresa]" caption="Empresa" attribute="1" defaultMemberUniqueName="[Tabla1].[Empresa].[All]" allUniqueName="[Tabla1].[Empresa].[All]" dimensionUniqueName="[Tabla1]" displayFolder="" count="0" memberValueDatatype="130" unbalanced="0"/>
    <cacheHierarchy uniqueName="[Tabla1].[Nombre completo de quien firma (Iniciando por apellidos, nombre)]" caption="Nombre completo de quien firma (Iniciando por apellidos, nombre)" attribute="1" defaultMemberUniqueName="[Tabla1].[Nombre completo de quien firma (Iniciando por apellidos, nombre)].[All]" allUniqueName="[Tabla1].[Nombre completo de quien firma (Iniciando por apellidos, nombre)].[All]" dimensionUniqueName="[Tabla1]" displayFolder="" count="0" memberValueDatatype="130" unbalanced="0"/>
    <cacheHierarchy uniqueName="[Tabla1].[Tipo de empresa según ambito]" caption="Tipo de empresa según ambito" attribute="1" defaultMemberUniqueName="[Tabla1].[Tipo de empresa según ambito].[All]" allUniqueName="[Tabla1].[Tipo de empresa según ambito].[All]" dimensionUniqueName="[Tabla1]" displayFolder="" count="0" memberValueDatatype="130" unbalanced="0"/>
    <cacheHierarchy uniqueName="[Tabla1].[Tamaño]" caption="Tamaño" attribute="1" defaultMemberUniqueName="[Tabla1].[Tamaño].[All]" allUniqueName="[Tabla1].[Tamaño].[All]" dimensionUniqueName="[Tabla1]" displayFolder="" count="0" memberValueDatatype="130" unbalanced="0"/>
    <cacheHierarchy uniqueName="[Tabla1].[Sector]" caption="Sector" attribute="1" defaultMemberUniqueName="[Tabla1].[Sector].[All]" allUniqueName="[Tabla1].[Sector].[All]" dimensionUniqueName="[Tabla1]" displayFolder="" count="0" memberValueDatatype="130" unbalanced="0"/>
    <cacheHierarchy uniqueName="[Tabla1].[Servicio]" caption="Servicio" attribute="1" defaultMemberUniqueName="[Tabla1].[Servicio].[All]" allUniqueName="[Tabla1].[Servicio].[All]" dimensionUniqueName="[Tabla1]" displayFolder="" count="0" memberValueDatatype="130" unbalanced="0"/>
    <cacheHierarchy uniqueName="[Tabla1].[Estado]" caption="Estado" attribute="1" defaultMemberUniqueName="[Tabla1].[Estado].[All]" allUniqueName="[Tabla1].[Estado].[All]" dimensionUniqueName="[Tabla1]" displayFolder="" count="0" memberValueDatatype="130" unbalanced="0"/>
    <cacheHierarchy uniqueName="[Tabla1].[Municipio]" caption="Municipio" attribute="1" defaultMemberUniqueName="[Tabla1].[Municipio].[All]" allUniqueName="[Tabla1].[Municipio].[All]" dimensionUniqueName="[Tabla1]" displayFolder="" count="0" memberValueDatatype="130" unbalanced="0"/>
    <cacheHierarchy uniqueName="[Tabla13].[Empresa]" caption="Empresa" attribute="1" defaultMemberUniqueName="[Tabla13].[Empresa].[All]" allUniqueName="[Tabla13].[Empresa].[All]" dimensionUniqueName="[Tabla13]" displayFolder="" count="0" memberValueDatatype="130" unbalanced="0"/>
    <cacheHierarchy uniqueName="[Tabla13].[Nombre completo de quien firma (Iniciando por apellidos, nombre)]" caption="Nombre completo de quien firma (Iniciando por apellidos, nombre)" attribute="1" defaultMemberUniqueName="[Tabla13].[Nombre completo de quien firma (Iniciando por apellidos, nombre)].[All]" allUniqueName="[Tabla13].[Nombre completo de quien firma (Iniciando por apellidos, nombre)].[All]" dimensionUniqueName="[Tabla13]" displayFolder="" count="0" memberValueDatatype="130" unbalanced="0"/>
    <cacheHierarchy uniqueName="[Tabla13].[Tipo de empresa según ambito]" caption="Tipo de empresa según ambito" attribute="1" defaultMemberUniqueName="[Tabla13].[Tipo de empresa según ambito].[All]" allUniqueName="[Tabla13].[Tipo de empresa según ambito].[All]" dimensionUniqueName="[Tabla13]" displayFolder="" count="0" memberValueDatatype="130" unbalanced="0"/>
    <cacheHierarchy uniqueName="[Tabla13].[Tamaño]" caption="Tamaño" attribute="1" defaultMemberUniqueName="[Tabla13].[Tamaño].[All]" allUniqueName="[Tabla13].[Tamaño].[All]" dimensionUniqueName="[Tabla13]" displayFolder="" count="0" memberValueDatatype="130" unbalanced="0"/>
    <cacheHierarchy uniqueName="[Tabla13].[Sector]" caption="Sector" attribute="1" defaultMemberUniqueName="[Tabla13].[Sector].[All]" allUniqueName="[Tabla13].[Sector].[All]" dimensionUniqueName="[Tabla13]" displayFolder="" count="0" memberValueDatatype="130" unbalanced="0"/>
    <cacheHierarchy uniqueName="[Tabla13].[Servicio]" caption="Servicio" attribute="1" defaultMemberUniqueName="[Tabla13].[Servicio].[All]" allUniqueName="[Tabla13].[Servicio].[All]" dimensionUniqueName="[Tabla13]" displayFolder="" count="0" memberValueDatatype="130" unbalanced="0"/>
    <cacheHierarchy uniqueName="[Tabla13].[Estado]" caption="Estado" attribute="1" defaultMemberUniqueName="[Tabla13].[Estado].[All]" allUniqueName="[Tabla13].[Estado].[All]" dimensionUniqueName="[Tabla13]" displayFolder="" count="2" memberValueDatatype="130" unbalanced="0">
      <fieldsUsage count="2">
        <fieldUsage x="-1"/>
        <fieldUsage x="0"/>
      </fieldsUsage>
    </cacheHierarchy>
    <cacheHierarchy uniqueName="[Tabla13].[Municipio]" caption="Municipio" attribute="1" defaultMemberUniqueName="[Tabla13].[Municipio].[All]" allUniqueName="[Tabla13].[Municipio].[All]" dimensionUniqueName="[Tabla13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XL_Count Tabla1]" caption="__XL_Count Tabla1" measure="1" displayFolder="" measureGroup="Tabla1" count="0" hidden="1"/>
    <cacheHierarchy uniqueName="[Measures].[__XL_Count Tabla13]" caption="__XL_Count Tabla13" measure="1" displayFolder="" measureGroup="Tabla13" count="0" hidden="1"/>
    <cacheHierarchy uniqueName="[Measures].[__No measures defined]" caption="__No measures defined" measure="1" displayFolder="" count="0" hidden="1"/>
    <cacheHierarchy uniqueName="[Measures].[Recuento de Empresa]" caption="Recuento de Empresa" measure="1" displayFolder="" measureGroup="Rango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Empresa 3]" caption="Recuento de Empresa 3" measure="1" displayFolder="" measureGroup="Tab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Empresa 2]" caption="Recuento de Empresa 2" measure="1" displayFolder="" measureGroup="Tabla1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Recuento de Estado]" caption="Recuento de Estado" measure="1" displayFolder="" measureGroup="Tabla13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measure="1" name="Measures" uniqueName="[Measures]" caption="Measures"/>
    <dimension name="Rango" uniqueName="[Rango]" caption="Rango"/>
    <dimension name="Tabla1" uniqueName="[Tabla1]" caption="Tabla1"/>
    <dimension name="Tabla13" uniqueName="[Tabla13]" caption="Tabla13"/>
  </dimensions>
  <measureGroups count="3">
    <measureGroup name="Rango" caption="Rango"/>
    <measureGroup name="Tabla1" caption="Tabla1"/>
    <measureGroup name="Tabla13" caption="Tabla13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ocial" refreshedDate="46234.709287152778" createdVersion="6" refreshedVersion="6" minRefreshableVersion="3" recordCount="427" xr:uid="{00000000-000A-0000-FFFF-FFFF05000000}">
  <cacheSource type="worksheet">
    <worksheetSource name="Tabla13"/>
  </cacheSource>
  <cacheFields count="8">
    <cacheField name="Empresa" numFmtId="0">
      <sharedItems containsMixedTypes="1" containsNumber="1" containsInteger="1" minValue="0" maxValue="0"/>
    </cacheField>
    <cacheField name="Nombre completo de quien firma (Iniciando por apellidos, nombre)" numFmtId="0">
      <sharedItems containsBlank="1"/>
    </cacheField>
    <cacheField name="Tipo de empresa según ambito" numFmtId="0">
      <sharedItems containsBlank="1"/>
    </cacheField>
    <cacheField name="Tamaño" numFmtId="0">
      <sharedItems containsBlank="1"/>
    </cacheField>
    <cacheField name="Sector" numFmtId="0">
      <sharedItems containsBlank="1"/>
    </cacheField>
    <cacheField name="Servicio" numFmtId="0">
      <sharedItems containsBlank="1" count="44">
        <s v="Aceros"/>
        <s v="Telecomunicaciones"/>
        <s v="Asesoria"/>
        <s v="Industrial"/>
        <s v="Logistica"/>
        <s v="Seguridad"/>
        <s v="Consultoria"/>
        <s v="Empresarial"/>
        <s v="Construccion"/>
        <s v="Quimicos"/>
        <s v="Alimentos"/>
        <s v="Educacion"/>
        <s v="Servicios Contables"/>
        <s v="Automotriz"/>
        <s v="Tecnologico"/>
        <s v="Ingenieria"/>
        <s v="Servicio al Cliente"/>
        <s v="Mantenimiento"/>
        <s v="Inmobiliario"/>
        <s v="Sistemas"/>
        <s v="Financiero"/>
        <s v="Comercial"/>
        <s v="Venta"/>
        <s v="Manufactura"/>
        <s v="Medicina y Salud"/>
        <s v="Investigacion "/>
        <s v="Gubernamental"/>
        <s v="Metales"/>
        <s v="Seguros de vida"/>
        <s v="Administracion "/>
        <s v="Religioso "/>
        <s v="Transporte"/>
        <s v="Capacitacion"/>
        <m/>
        <s v="Entretenimiento"/>
        <s v="Hotelero"/>
        <s v="Vivienda"/>
        <s v="Mobiliario "/>
        <s v="Diseños"/>
        <s v="Limpieza"/>
        <s v="Ecologico"/>
        <s v="Mantenimiento "/>
        <s v="Marketing"/>
        <s v="Soporte tecnico"/>
      </sharedItems>
    </cacheField>
    <cacheField name="Estado" numFmtId="0">
      <sharedItems containsBlank="1"/>
    </cacheField>
    <cacheField name="Municip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7">
  <r>
    <s v="ACEROPUERTAS Y MARCOS HG S.A. DE C.V."/>
    <s v="Gutierrez Rangel Hector Manuel"/>
    <s v="Local"/>
    <s v="Pequeña 11 - 50"/>
    <s v="Privado"/>
    <x v="0"/>
    <s v="Nuevo León"/>
    <s v="Monterrey"/>
  </r>
  <r>
    <s v="AFL TELECOMUNICACIONES DE MÉXICO"/>
    <s v="Rocha Arellano Marcela Suzzet "/>
    <s v="Multinacional-Internacional"/>
    <s v="Grande 251 - En adelante"/>
    <s v="Privado"/>
    <x v="1"/>
    <s v="Nuevo León"/>
    <s v="Apodaca"/>
  </r>
  <r>
    <s v="ALANIS AMARO Y ASOCIADOS"/>
    <s v="Gomez Torres Cruz Isela "/>
    <s v="Local"/>
    <s v="Pequeña 11 - 50"/>
    <s v="Privado"/>
    <x v="2"/>
    <s v="Nuevo León"/>
    <s v="Monterrey"/>
  </r>
  <r>
    <s v="AVANTE"/>
    <s v="Espinoza Garcia Adriana"/>
    <s v="Nacional"/>
    <s v="Grande 251 - En adelante"/>
    <s v="Privado"/>
    <x v="3"/>
    <s v="Nuevo León"/>
    <s v="San Nicolas de los Garza"/>
  </r>
  <r>
    <s v="Afelectric"/>
    <s v="Elizondo Serna Frida Elizabeth"/>
    <s v="Local"/>
    <s v="Pequeña 11 - 50"/>
    <s v="Privado"/>
    <x v="3"/>
    <s v="Nuevo León"/>
    <s v="Monterrey"/>
  </r>
  <r>
    <s v="ALMEX"/>
    <s v="Melendez Bustos Elmer Oswaldo"/>
    <s v="Nacional"/>
    <s v="Grande 251 - En adelante"/>
    <s v="Privado"/>
    <x v="4"/>
    <s v="Nuevo León"/>
    <s v="Monterrey"/>
  </r>
  <r>
    <s v="AMB Insurance Brokers"/>
    <s v="Garcia Moncada Victor Ivan"/>
    <s v="Nacional"/>
    <s v="Mediana 51 -250"/>
    <s v="Privado"/>
    <x v="5"/>
    <s v="Nuevo León"/>
    <s v="San Pedro Garza Garcia"/>
  </r>
  <r>
    <s v="ADVISER CONSULTORES"/>
    <s v="Torres Vazquez Sandra Patricia"/>
    <s v="Local"/>
    <s v="Micro 1 - 10"/>
    <s v="Privado"/>
    <x v="6"/>
    <s v="Nuevo León"/>
    <s v="Monterrey"/>
  </r>
  <r>
    <s v="ADNE-Adminsitración"/>
    <s v="Mata Sifuentes Ramon"/>
    <s v="Local"/>
    <s v="Micro 1 - 10"/>
    <s v="Privado"/>
    <x v="7"/>
    <s v="Nuevo León"/>
    <s v="San Pedro Garza Garcia"/>
  </r>
  <r>
    <s v="ANVARO CONSTRUCTORA"/>
    <s v="Mandujano Landin Yazmin"/>
    <s v="Local"/>
    <s v="Pequeña 11 - 50"/>
    <s v="Privado"/>
    <x v="8"/>
    <s v="Nuevo León"/>
    <s v="Monterrey"/>
  </r>
  <r>
    <s v="AKZO NOBEL"/>
    <s v="Rangel Salazar Claudia Elizabeth "/>
    <s v="Multinacional-Internacional"/>
    <s v="Mediana 51 -250"/>
    <s v="Privado"/>
    <x v="9"/>
    <s v="Nuevo León"/>
    <s v="Garcia"/>
  </r>
  <r>
    <s v="Alvarado Vargas &amp; Arangua Asociados"/>
    <s v="Carrillo Galindo Isidro "/>
    <s v="Nacional"/>
    <s v="Pequeña 11 - 50"/>
    <s v="Privado"/>
    <x v="6"/>
    <s v="Nuevo León"/>
    <s v="Monterrey"/>
  </r>
  <r>
    <s v="ARCACONTINENTAL-COCA COLA"/>
    <s v="Barcena Juarez Manuel Arturo "/>
    <s v="Multinacional-Internacional"/>
    <s v="Grande 251 - En adelante"/>
    <s v="Privado"/>
    <x v="10"/>
    <s v="Nuevo León"/>
    <s v="Monterrey"/>
  </r>
  <r>
    <s v="Autenticos Tigres"/>
    <s v="Peña Montemayor Arturo Horacio"/>
    <s v="Local"/>
    <s v="Mediana 51 -250"/>
    <s v="Educativo"/>
    <x v="11"/>
    <s v="Nuevo León"/>
    <s v="San Nicolas de los Garza"/>
  </r>
  <r>
    <s v="Akzent"/>
    <s v="Velezmoro Ojeda Rodolfo Manuel"/>
    <s v="Local"/>
    <s v="Grande 251 - En adelante"/>
    <s v="Privado"/>
    <x v="4"/>
    <s v="Nuevo León"/>
    <s v="Monterrey"/>
  </r>
  <r>
    <s v="Alerex Servicios S.A. de C.V."/>
    <s v="Gutierrez Salazar Alma Cristina"/>
    <s v="Local"/>
    <s v="Mediana 51 -250"/>
    <s v="Privado"/>
    <x v="12"/>
    <s v="Nuevo León"/>
    <s v="Monterrey"/>
  </r>
  <r>
    <s v="American Axle Novocast"/>
    <s v="Careaga Hector"/>
    <s v="Multinacional-Internacional"/>
    <s v="Grande 251 - En adelante"/>
    <s v="Privado"/>
    <x v="13"/>
    <s v="Nuevo León"/>
    <s v="General Escobedo"/>
  </r>
  <r>
    <s v="ASESORIA CONTABLE FISCAL GENESIS SA DE CV"/>
    <s v="Castillo Carrillo Raul"/>
    <s v="Local"/>
    <s v="Micro 1 - 10"/>
    <s v="Privado"/>
    <x v="6"/>
    <s v="Nuevo León"/>
    <s v="Guadalupe"/>
  </r>
  <r>
    <s v="AtCapitalHumano"/>
    <s v="Alvarez Sanchez Edgard"/>
    <s v="Local"/>
    <s v="Pequeña 11 - 50"/>
    <s v="Privado"/>
    <x v="6"/>
    <s v="Nuevo León"/>
    <s v="Monterrey"/>
  </r>
  <r>
    <s v="AMI Energy"/>
    <s v="Argueles Martinez Amrantina"/>
    <s v="Multinacional-Internacional"/>
    <s v="Grande 251 - En adelante"/>
    <s v="Privado"/>
    <x v="3"/>
    <s v="Nuevo León"/>
    <s v="Monterrey"/>
  </r>
  <r>
    <s v="ABB INSTALLATION PRODUCTS MONTERREY"/>
    <s v="Alonso Gonzales Jorge Alberto"/>
    <s v="Multinacional-Internacional"/>
    <s v="Grande 251 - En adelante"/>
    <s v="Privado"/>
    <x v="14"/>
    <s v="Nuevo León"/>
    <s v="Apodaca"/>
  </r>
  <r>
    <s v="Ac pollo del centro"/>
    <s v="Serrato Marquez Paola Jaqueline"/>
    <s v="Local"/>
    <s v="Mediana 51 -250"/>
    <s v="Privado"/>
    <x v="10"/>
    <s v="Nuevo León"/>
    <s v="Monterrey"/>
  </r>
  <r>
    <s v="AD CORPORATIVE "/>
    <s v="Rocha Caballero Javier"/>
    <s v="Local"/>
    <s v="Pequeña 11 - 50"/>
    <s v="Privado"/>
    <x v="6"/>
    <s v="Nuevo León"/>
    <s v="Monterrey"/>
  </r>
  <r>
    <s v="ALCORE INGENIEROS"/>
    <s v="Cortéz Cepeda Luis Eduardo"/>
    <s v="Local"/>
    <s v="Pequeña 11 - 50"/>
    <s v="Privado"/>
    <x v="15"/>
    <s v="Nuevo León"/>
    <s v="Monterrey"/>
  </r>
  <r>
    <s v="ATTENDO"/>
    <s v="Suarez Cruz Aida"/>
    <s v="Nacional"/>
    <s v="Grande 251 - En adelante"/>
    <s v="Privado"/>
    <x v="16"/>
    <s v="Nuevo León"/>
    <s v="Monterrey"/>
  </r>
  <r>
    <s v="ABSOLUT OPERACION Y MANTENIMIENTO DE GAS-Absolut"/>
    <s v="Peña Mata Jorge Humberto"/>
    <s v="Nacional"/>
    <s v="Mediana 51 -250"/>
    <s v="Privado"/>
    <x v="17"/>
    <s v="Nuevo León"/>
    <s v="Monterrey"/>
  </r>
  <r>
    <s v="AV PROMOTORA-Grupo Acosta Verde"/>
    <s v="Gaytán Castro Andrea Isabel"/>
    <s v="Nacional"/>
    <s v="Grande 251 - En adelante"/>
    <s v="Privado"/>
    <x v="18"/>
    <s v="Nuevo León"/>
    <s v="San Pedro Garza Garcia"/>
  </r>
  <r>
    <s v="AGENCIA CUAUHTEMOC DE LINARES, S.A DE C.V"/>
    <s v="Uriegas Polanco Brenda"/>
    <s v="Local"/>
    <s v="Mediana 51 -250"/>
    <s v="Privado"/>
    <x v="13"/>
    <s v="Nuevo León"/>
    <s v="Linares"/>
  </r>
  <r>
    <s v="A3 SERVICIOS DE TECNOLOGÍA-Sistemas AKUBICA"/>
    <s v="Beltran Moreno Ivone Areli"/>
    <s v="Nacional"/>
    <s v="Mediana 51 -250"/>
    <s v="Privado"/>
    <x v="19"/>
    <s v="Nuevo León"/>
    <s v="Monterrey"/>
  </r>
  <r>
    <s v="BANREGIO"/>
    <s v="Enriquez Fragoso Miguel Angel"/>
    <s v="Local"/>
    <s v="Grande 251 - En adelante"/>
    <s v="Público"/>
    <x v="20"/>
    <s v="Nuevo León"/>
    <s v="San Nicolas de los Garza"/>
  </r>
  <r>
    <s v="BNEXT"/>
    <s v="Garcia Lopez Gabriela"/>
    <s v="Multinacional-Internacional"/>
    <s v="Mediana 51 -250"/>
    <s v="Privado"/>
    <x v="19"/>
    <s v="Nuevo León"/>
    <s v="Monterrey"/>
  </r>
  <r>
    <s v="BRAVO"/>
    <s v="Yañez Arreola Ernesto"/>
    <s v="Local"/>
    <s v="Mediana 51 -250"/>
    <s v="Privado"/>
    <x v="21"/>
    <s v="Nuevo León"/>
    <s v="Monterrey"/>
  </r>
  <r>
    <s v="BYDSA"/>
    <s v="Reina Cisneros Nancy Elizabeth"/>
    <s v="Nacional"/>
    <s v="Grande 251 - En adelante"/>
    <s v="Privado"/>
    <x v="21"/>
    <s v="Nuevo León"/>
    <s v="Guadalupe"/>
  </r>
  <r>
    <s v="BITZER"/>
    <s v="Villalobos Pozos Miguel Angel "/>
    <s v="Multinacional-Internacional"/>
    <s v="Pequeña 11 - 50"/>
    <s v="Privado"/>
    <x v="21"/>
    <s v="Nuevo León"/>
    <s v="Guadalupe"/>
  </r>
  <r>
    <s v="Budenheim"/>
    <s v="Lopez Cervantes Narda Deyanira"/>
    <s v="Multinacional-Internacional"/>
    <s v="Mediana 51 -250"/>
    <s v="Privado"/>
    <x v="9"/>
    <s v="Nuevo León"/>
    <s v="Monterrey"/>
  </r>
  <r>
    <s v="Belden LRC Mexico"/>
    <s v="Jhona Alatorre Partida "/>
    <s v="Multinacional-Internacional"/>
    <s v="Mediana 51 -250"/>
    <s v="Privado"/>
    <x v="3"/>
    <s v="Nuevo León"/>
    <s v="Monterrey"/>
  </r>
  <r>
    <s v="BACYF"/>
    <s v="Loredo Vega Silvia "/>
    <s v="Local"/>
    <s v="Micro 1 - 10"/>
    <s v="Privado"/>
    <x v="12"/>
    <s v="Nuevo León"/>
    <s v="Monterrey"/>
  </r>
  <r>
    <s v="BM Asesoria "/>
    <s v="Ibarra Aldana Diego Ivan"/>
    <s v="Local"/>
    <s v="Micro 1 - 10"/>
    <s v="Privado"/>
    <x v="2"/>
    <s v="Nuevo León"/>
    <s v="Monterrey"/>
  </r>
  <r>
    <s v="BYA"/>
    <s v="Macias Daniel A."/>
    <s v="Local"/>
    <s v="Micro 1 - 10"/>
    <s v="Privado"/>
    <x v="2"/>
    <s v="Nuevo León"/>
    <s v="Monterrey"/>
  </r>
  <r>
    <s v="Biosinsa"/>
    <s v="Chavez Tapia Cinthya Michel"/>
    <s v="Nacional"/>
    <s v="Mediana 51 -250"/>
    <s v="Privado"/>
    <x v="3"/>
    <s v="Nuevo León"/>
    <s v="Monterrey"/>
  </r>
  <r>
    <s v="BF CONSULTORES SC"/>
    <s v="Cruz Castro Juan carlos"/>
    <s v="Local"/>
    <s v="Pequeña 11 - 50"/>
    <s v="Privado"/>
    <x v="6"/>
    <s v="Nuevo León"/>
    <s v="San Nicolas de los Garza"/>
  </r>
  <r>
    <s v="BANCA AFIRME"/>
    <s v="Medina Mederos Delia Cristina"/>
    <s v="Nacional"/>
    <s v="Grande 251 - En adelante"/>
    <s v="Privado"/>
    <x v="20"/>
    <s v="Nuevo León"/>
    <s v="San Pedro Garza Garcia"/>
  </r>
  <r>
    <s v="BREMBO DE MEXICO"/>
    <s v="Armendariz Avalos Griselda"/>
    <s v="Multinacional-Internacional"/>
    <s v="Grande 251 - En adelante"/>
    <s v="Privado"/>
    <x v="13"/>
    <s v="Nuevo León"/>
    <s v="Monterrey"/>
  </r>
  <r>
    <s v="BOSTIK MEXICANA"/>
    <s v="Pérez Pérez Stefani Magaly"/>
    <s v="Trasnacional"/>
    <s v="Grande 251 - En adelante"/>
    <s v="Privado"/>
    <x v="21"/>
    <s v="Nuevo León"/>
    <s v="Apodaca"/>
  </r>
  <r>
    <s v="CAT"/>
    <s v="Gonzalez Ivett de la Rosa "/>
    <s v="Trasnacional"/>
    <s v="Grande 251 - En adelante"/>
    <s v="Privado"/>
    <x v="8"/>
    <s v="Nuevo León"/>
    <s v="Santa Catarina"/>
  </r>
  <r>
    <s v="CDR MARTINEZ ABARCA"/>
    <s v="Martinez Gaytan Marcos Omar "/>
    <s v="Local"/>
    <s v="Micro 1 - 10"/>
    <s v="Privado"/>
    <x v="2"/>
    <s v="Nuevo León"/>
    <s v="Monterrey"/>
  </r>
  <r>
    <s v="CLEBER"/>
    <s v="Perez Marta Victoria Guadalupe"/>
    <s v="Nacional"/>
    <s v="Grande 251 - En adelante"/>
    <s v="Privado"/>
    <x v="22"/>
    <s v="Nuevo León"/>
    <s v="Monterrey"/>
  </r>
  <r>
    <s v="COMERCIALIZADORA, SERVICIOS Y SUMINISTROS INDUSTRIALES TARO"/>
    <s v="Gomez Vazquez Zulema"/>
    <s v="Local"/>
    <s v="Pequeña 11 - 50"/>
    <s v="Privado"/>
    <x v="3"/>
    <s v="Nuevo León"/>
    <s v="Apodaca"/>
  </r>
  <r>
    <s v="COPAMEX INDUSTRIAS SA DE CV"/>
    <s v="Mata Olivares Yaresi Guadalupe"/>
    <s v="Nacional"/>
    <s v="Grande 251 - En adelante"/>
    <s v="Privado"/>
    <x v="3"/>
    <s v="Nuevo León"/>
    <s v="Monterrey"/>
  </r>
  <r>
    <s v="CEMM MEX"/>
    <s v="Castro Leal Margarita"/>
    <s v="Local"/>
    <s v="Pequeña 11 - 50"/>
    <s v="Privado"/>
    <x v="23"/>
    <s v="Nuevo León"/>
    <s v="Apodaca"/>
  </r>
  <r>
    <s v="AMB Insurance Brokers"/>
    <s v="Garcia Moncada Victor Ivan"/>
    <s v="Nacional"/>
    <s v="Mediana 51 -250"/>
    <s v="Privado"/>
    <x v="5"/>
    <s v="Nuevo León"/>
    <s v="San Pedro Garza Garcia"/>
  </r>
  <r>
    <s v="CRUZ ROJA MEXICANA"/>
    <s v="Contreras Farias Juanita Esmeralda"/>
    <s v="Nacional"/>
    <s v="Grande 251 - En adelante"/>
    <s v="Privado"/>
    <x v="24"/>
    <s v="Nuevo León"/>
    <s v="Monterrey"/>
  </r>
  <r>
    <s v="COMERCIALIZADORA INTERNACIONAL JAXI"/>
    <s v="Sanchez Salazar Marianelly"/>
    <s v="Nacional"/>
    <s v="Pequeña 11 - 50"/>
    <s v="Privado"/>
    <x v="21"/>
    <s v="Nuevo León"/>
    <s v="Monterrey"/>
  </r>
  <r>
    <s v="CALLAWAY"/>
    <s v="Garcia Rodriguez Jazmin"/>
    <s v="Multinacional-Internacional"/>
    <s v="Grande 251 - En adelante"/>
    <s v="Privado"/>
    <x v="23"/>
    <s v="Nuevo León"/>
    <s v="Apodaca"/>
  </r>
  <r>
    <s v="Carnes Finas de la Region"/>
    <s v="Alejandro Garcia Andrea Aranza"/>
    <s v="Local"/>
    <s v="Pequeña 11 - 50"/>
    <s v="Público"/>
    <x v="10"/>
    <s v="Nuevo León"/>
    <s v="Garcia"/>
  </r>
  <r>
    <s v="Car One Group"/>
    <s v="Martinez Gonzalez Homero"/>
    <s v="Local"/>
    <s v="Grande 251 - En adelante"/>
    <s v="Privado"/>
    <x v="13"/>
    <s v="Nuevo León"/>
    <s v="Monterrey"/>
  </r>
  <r>
    <s v="Castelec Internacional"/>
    <s v="Torres Tamez Patricia "/>
    <s v="Local"/>
    <s v="Grande 251 - En adelante"/>
    <s v="Privado"/>
    <x v="19"/>
    <s v="Nuevo León"/>
    <s v="Monterrey"/>
  </r>
  <r>
    <s v="CAVI"/>
    <s v="Montalvo Espinosa Jose Luis"/>
    <s v="Local"/>
    <s v="Pequeña 11 - 50"/>
    <s v="Privado"/>
    <x v="3"/>
    <s v="Nuevo León"/>
    <s v="Guadalupe"/>
  </r>
  <r>
    <s v="CHAVEZ DURAN-Asesoria Fiscal y Contable"/>
    <s v="Chavez Duran Jesus Enrique"/>
    <s v="Local"/>
    <s v="Micro 1 - 10"/>
    <s v="Privado"/>
    <x v="2"/>
    <s v="Nuevo León"/>
    <s v="Monterrey"/>
  </r>
  <r>
    <s v="CINDEMEX"/>
    <s v="Montemayor Garza Javier "/>
    <s v="Nacional"/>
    <s v="Mediana 51 -250"/>
    <s v="Privado"/>
    <x v="23"/>
    <s v="Nuevo León"/>
    <s v="Apodaca"/>
  </r>
  <r>
    <s v="Consultores Saldívar S.C."/>
    <s v="Saldivar Rodriguez Juan Alberto "/>
    <s v="Local"/>
    <s v="Pequeña 11 - 50"/>
    <s v="Privado"/>
    <x v="6"/>
    <s v="Nuevo León"/>
    <s v="Monterrey"/>
  </r>
  <r>
    <s v="CEMEX"/>
    <s v="De Osio Rojas Jorge Adrian "/>
    <s v="Local"/>
    <s v="Grande 251 - En adelante"/>
    <s v="Privado"/>
    <x v="21"/>
    <s v="Nuevo León"/>
    <s v="Monterrey"/>
  </r>
  <r>
    <s v="Centro Acción Humanista y Responsabilidad Social UANL"/>
    <s v="Juarez Saavedra Janeth "/>
    <s v="Local"/>
    <s v="Mediana 51 -250"/>
    <s v="Educativo"/>
    <x v="25"/>
    <s v="Nuevo León"/>
    <s v="San Nicolas de los Garza"/>
  </r>
  <r>
    <s v="CICSA"/>
    <s v="Bada Mar Rodrigo Fazur "/>
    <s v="Nacional"/>
    <s v="Grande 251 - En adelante"/>
    <s v="Privado"/>
    <x v="8"/>
    <s v="Nuevo León"/>
    <s v="Monterrey"/>
  </r>
  <r>
    <s v="COLDS"/>
    <s v="De luna del angel Fabiola Abigail "/>
    <s v="Local"/>
    <s v="Pequeña 11 - 50"/>
    <s v="Privado"/>
    <x v="4"/>
    <s v="Nuevo León"/>
    <s v="Apodaca"/>
  </r>
  <r>
    <s v="ContourGlobal"/>
    <s v="Hurtado Arbona Adriana "/>
    <s v="Multinacional-Internacional"/>
    <s v="Pequeña 11 - 50"/>
    <s v="Privado"/>
    <x v="16"/>
    <s v="Nuevo León"/>
    <s v="San Pedro Garza Garcia"/>
  </r>
  <r>
    <s v="CENTRO DE INVESTIGACIÓN EN PRODUCCIÓN AGROPECUARIA UANL"/>
    <s v="Manzarares Miranda Nelson "/>
    <s v="Local"/>
    <s v="Mediana 51 -250"/>
    <s v="Educativo"/>
    <x v="26"/>
    <s v="Nuevo León"/>
    <s v="General Escobedo"/>
  </r>
  <r>
    <s v="CIA Sherwin Willimas"/>
    <s v="Jamarillo Reyes Johana Jrai "/>
    <s v="Multinacional-Internacional"/>
    <s v="Grande 251 - En adelante"/>
    <s v="Privado"/>
    <x v="9"/>
    <s v="Ciudad de México"/>
    <s v="DELEGACION AZCAPOTZALCO"/>
  </r>
  <r>
    <s v="Citrofrut"/>
    <s v="Centella Sanchez Cassandra"/>
    <s v="Nacional"/>
    <s v="Grande 251 - En adelante"/>
    <s v="Privado"/>
    <x v="10"/>
    <s v="Nuevo León"/>
    <s v="Monterrey"/>
  </r>
  <r>
    <s v="COPAMEX INDUSTRIAS SA DE CV"/>
    <s v="Mata Olivares Yaresi Guadalupe"/>
    <s v="Nacional"/>
    <s v="Grande 251 - En adelante"/>
    <s v="Privado"/>
    <x v="3"/>
    <s v="Nuevo León"/>
    <s v="Monterrey"/>
  </r>
  <r>
    <s v="CONTAXX"/>
    <s v="Hernandez Hernandez Francisco Abel"/>
    <s v="Local"/>
    <s v="Micro 1 - 10"/>
    <s v="Privado"/>
    <x v="6"/>
    <s v="Nuevo León"/>
    <s v="Monterrey"/>
  </r>
  <r>
    <s v="CYMM"/>
    <s v="Varela Ochoa Reyna Alejandra"/>
    <s v="Local"/>
    <s v="Pequeña 11 - 50"/>
    <s v="Privado"/>
    <x v="23"/>
    <s v="Nuevo León"/>
    <s v="Guadalupe"/>
  </r>
  <r>
    <s v="Castle Metals"/>
    <s v="Mendieta Perez Isaac"/>
    <s v="Trasnacional"/>
    <s v="Grande 251 - En adelante"/>
    <s v="Privado"/>
    <x v="27"/>
    <s v="Nuevo León"/>
    <s v="Apodaca"/>
  </r>
  <r>
    <s v="CROWN MEXICO"/>
    <s v="Cabriales Flores Keyla Chantal"/>
    <s v="Trasnacional"/>
    <s v="Grande 251 - En adelante"/>
    <s v="Privado"/>
    <x v="27"/>
    <s v="Nuevo León"/>
    <s v="Monterrey"/>
  </r>
  <r>
    <s v="Capetillo Asesores"/>
    <s v="Capetillo Lopez Jonathan Armando"/>
    <s v="Local"/>
    <s v="Micro 1 - 10"/>
    <s v="Privado"/>
    <x v="6"/>
    <s v="Nuevo León"/>
    <s v="Monterrey"/>
  </r>
  <r>
    <s v="Carrier"/>
    <s v="Flores Martinez Hugo"/>
    <s v="Multinacional-Internacional"/>
    <s v="Grande 251 - En adelante"/>
    <s v="Privado"/>
    <x v="23"/>
    <s v="Nuevo León"/>
    <s v="Santa Catarina"/>
  </r>
  <r>
    <s v="CEMEX"/>
    <s v="Espinoza Ramirez Jose Guadalupe"/>
    <s v="Local"/>
    <s v="Grande 251 - En adelante"/>
    <s v="Privado"/>
    <x v="21"/>
    <s v="Nuevo León"/>
    <s v="Monterrey"/>
  </r>
  <r>
    <s v="Cold Jet Latinoamerica"/>
    <s v="Fisher Saca Eduardo Andres"/>
    <s v="Trasnacional"/>
    <s v="Grande 251 - En adelante"/>
    <s v="Privado"/>
    <x v="3"/>
    <s v="Nuevo León"/>
    <s v="Monterrey"/>
  </r>
  <r>
    <s v="Concord Packaging de Mexico"/>
    <s v="Hernandez Melendez Valeria"/>
    <s v="Multinacional-Internacional"/>
    <s v="Mediana 51 -250"/>
    <s v="Privado"/>
    <x v="3"/>
    <s v="Nuevo León"/>
    <s v="Apodaca"/>
  </r>
  <r>
    <s v="Crediclub"/>
    <s v="Acosta Avila Angeles Guadalupe "/>
    <s v="Nacional"/>
    <s v="Grande 251 - En adelante"/>
    <s v="Privado"/>
    <x v="20"/>
    <s v="Nuevo León"/>
    <s v="San Pedro Garza Garcia"/>
  </r>
  <r>
    <s v="Chavarria Esquivel y Asociados SC"/>
    <s v="Gonzales Chavarria Lizbeth Alejandra"/>
    <s v="Local"/>
    <s v="Micro 1 - 10"/>
    <s v="Privado"/>
    <x v="2"/>
    <s v="Nuevo León"/>
    <s v="Monterrey"/>
  </r>
  <r>
    <s v="Cometa Lab S.A. de C.V. - CAFE UNAMUNO"/>
    <s v="Lazcano Mayrl Félix"/>
    <s v="Local"/>
    <s v="Pequeña 11 - 50"/>
    <s v="Privado"/>
    <x v="10"/>
    <s v="Nuevo León"/>
    <s v="Monterrey"/>
  </r>
  <r>
    <s v="CCMR"/>
    <s v="Esquivel Cárdenas Jessica Odette"/>
    <s v="Local"/>
    <s v="Micro 1 - 10"/>
    <s v="Privado"/>
    <x v="6"/>
    <s v="Nuevo León"/>
    <s v="Monterrey"/>
  </r>
  <r>
    <s v="Centro de Autoservicio La Esperanza S. de R.L de C.V."/>
    <s v="Solis Garcia Jasinto"/>
    <s v="Local"/>
    <s v="Mediana 51 -250"/>
    <s v="Privado"/>
    <x v="22"/>
    <s v="Nuevo León"/>
    <s v="Monterrey"/>
  </r>
  <r>
    <s v="CHRISTUS MUGUERZA"/>
    <s v="Saenz Rodriguez Gabriela"/>
    <s v="Nacional"/>
    <s v="Grande 251 - En adelante"/>
    <s v="Privado"/>
    <x v="24"/>
    <s v="Nuevo León"/>
    <s v="Monterrey"/>
  </r>
  <r>
    <s v="COMERCIALIZADORA DE EQUIPOS"/>
    <s v="Perez Vazquez Jose Guadalupe"/>
    <s v="Local"/>
    <s v="Pequeña 11 - 50"/>
    <s v="Privado"/>
    <x v="22"/>
    <s v="Nuevo León"/>
    <s v="Apodaca"/>
  </r>
  <r>
    <s v="COEMSA Montacargas"/>
    <s v="Villegas Puente Braian Alejandro"/>
    <s v="Local"/>
    <s v="Mediana 51 -250"/>
    <s v="Privado"/>
    <x v="22"/>
    <s v="Nuevo León"/>
    <s v="Apodaca"/>
  </r>
  <r>
    <s v="COMERCIAL E INDUSTRIAL DE ADITIVOS PARA FUNDICIÓN-cinafunsa"/>
    <s v="de la Cruz Vásquez Noe"/>
    <s v="Nacional"/>
    <s v="Mediana 51 -250"/>
    <s v="Privado"/>
    <x v="3"/>
    <s v="Nuevo León"/>
    <s v="Monterrey"/>
  </r>
  <r>
    <s v="CYF CONTADORES Y ASESORES S.C."/>
    <s v="Salas Alanis Miguel Antonio"/>
    <s v="Local"/>
    <s v="Pequeña 11 - 50"/>
    <s v="Privado"/>
    <x v="6"/>
    <s v="Nuevo León"/>
    <s v="Cadereyta"/>
  </r>
  <r>
    <s v="CHRISTUS-LATAM HUB CENTER OF EXCELLENCE-Christus Excellence"/>
    <s v="Saenz Rodriguez Gabriela"/>
    <s v="Multinacional-Internacional"/>
    <s v="Grande 251 - En adelante"/>
    <s v="Privado"/>
    <x v="20"/>
    <s v="Nuevo León"/>
    <s v="Monterrey"/>
  </r>
  <r>
    <s v="COMERSA CNC STEEL SA DE CV"/>
    <s v="Alvarado Pérez Luis Andrés"/>
    <s v="Nacional"/>
    <s v="Mediana 51 -250"/>
    <s v="Privado"/>
    <x v="21"/>
    <s v="Nuevo León"/>
    <s v="Apodaca"/>
  </r>
  <r>
    <s v="CP &amp; A SC"/>
    <s v="Bahena Herrera Melissa Fernanda"/>
    <s v="Local"/>
    <s v="Micro 1 - 10"/>
    <s v="Privado"/>
    <x v="6"/>
    <s v="Nuevo León"/>
    <s v="Monterrey"/>
  </r>
  <r>
    <s v="CS ICONN"/>
    <s v="Elizondo Martínez José Mario"/>
    <s v="Nacional"/>
    <s v="Grande 251 - En adelante"/>
    <s v="Privado"/>
    <x v="21"/>
    <s v="Nuevo León"/>
    <s v="Monterrey"/>
  </r>
  <r>
    <s v="CALDERON &amp; CALDERON BUSINESS CONSULTING"/>
    <s v="Lopez Gallo Jazmin"/>
    <s v="Local"/>
    <s v="Micro 1 - 10"/>
    <s v="Privado"/>
    <x v="6"/>
    <s v="Nuevo León"/>
    <s v="Monterrey"/>
  </r>
  <r>
    <s v="CKT CAPITAL HUMANO-Becarios mx"/>
    <s v="Vazquez Gonzalez Alberto Antonio"/>
    <s v="Nacional"/>
    <s v="Mediana 51 -250"/>
    <s v="Privado"/>
    <x v="20"/>
    <s v="Nuevo León"/>
    <s v="Monterrey"/>
  </r>
  <r>
    <s v="COMERCIALIZADORA ALUMAX EXTRUSIONS MEXICO-HowMet Aerospace"/>
    <s v="Treviño Ginez Angela Anahi"/>
    <s v="Trasnacional"/>
    <s v="Grande 251 - En adelante"/>
    <s v="Privado"/>
    <x v="21"/>
    <s v="Nuevo León"/>
    <s v="Cienega de Flores"/>
  </r>
  <r>
    <s v="CARRAZCO &amp; ASOC. S.C."/>
    <s v="Carrazco Cerda Juan"/>
    <s v="Local"/>
    <s v="Micro 1 - 10"/>
    <s v="Privado"/>
    <x v="2"/>
    <s v="Nuevo León"/>
    <s v="Monterrey"/>
  </r>
  <r>
    <s v="CENTRO DE TECNOLOGIA NSG-NSG México"/>
    <s v="Hernandez Palacios  Luis Fernando"/>
    <s v="Trasnacional"/>
    <s v="Grande 251 - En adelante"/>
    <s v="Privado"/>
    <x v="14"/>
    <s v="Nuevo León"/>
    <s v="Apodaca"/>
  </r>
  <r>
    <s v="COMERCIALIZADORA DE PESCADOS Y MARISCOS EL CHARAL"/>
    <s v="Cantu Orta Edmundo Joel"/>
    <s v="Local"/>
    <s v="Pequeña 11 - 50"/>
    <s v="Privado"/>
    <x v="21"/>
    <s v="Nuevo León"/>
    <s v="Monterrey"/>
  </r>
  <r>
    <s v="CONSORCIO INDUSTRIAL CADEREYTA -CICSA"/>
    <s v="Bada Mar Rodrigo Fazur "/>
    <s v="Local"/>
    <s v="Mediana 51 -250"/>
    <s v="Privado"/>
    <x v="27"/>
    <s v="Nuevo León"/>
    <s v="Cadereyta"/>
  </r>
  <r>
    <s v="CONSULTORIA FINANCIERA MELCAP-Melcap"/>
    <s v="Pachur Guerra Carlos Humberto"/>
    <s v="Nacional"/>
    <s v="Pequeña 11 - 50"/>
    <s v="Privado"/>
    <x v="6"/>
    <s v="Nuevo León"/>
    <s v="San Pedro Garza Garcia"/>
  </r>
  <r>
    <s v="DELTA RADIOCOMUNICACION"/>
    <s v="Lopez Mata Leticia Itzayana "/>
    <s v="Local"/>
    <s v="Mediana 51 -250"/>
    <s v="Privado"/>
    <x v="22"/>
    <s v="Nuevo León"/>
    <s v="Monterrey"/>
  </r>
  <r>
    <s v="DESARROLLOS QUÍMICOS MUNDIALES"/>
    <s v="Hernandez Morales Yesenia"/>
    <s v="Nacional"/>
    <s v="Mediana 51 -250"/>
    <s v="Privado"/>
    <x v="9"/>
    <s v="Nuevo León"/>
    <s v="Apodaca"/>
  </r>
  <r>
    <s v="DESPACHO K FACIL CONTADORES"/>
    <s v="Gonzalez Alvaro Jose Miguel"/>
    <s v="Local"/>
    <s v="Micro 1 - 10"/>
    <s v="Privado"/>
    <x v="2"/>
    <s v="Nuevo León"/>
    <s v="Monterrey"/>
  </r>
  <r>
    <s v="DESPACHO LEAL LOPEZ Y ASOCIADOS SC"/>
    <s v="Leal Lopez Humberto "/>
    <s v="Local"/>
    <s v="Pequeña 11 - 50"/>
    <s v="Privado"/>
    <x v="6"/>
    <s v="Nuevo León"/>
    <s v="Monterrey"/>
  </r>
  <r>
    <s v="DESPACHO MARTINIANO LOZANO GONZALEZ"/>
    <s v="Lozano Gonzalez Martiniano"/>
    <s v="Local"/>
    <s v="Micro 1 - 10"/>
    <s v="Privado"/>
    <x v="12"/>
    <s v="Nuevo León"/>
    <s v="Monterrey"/>
  </r>
  <r>
    <s v="DESPACHO Optimus Contadores"/>
    <s v="De la rosa Mata Roberto Carlos"/>
    <s v="Local"/>
    <s v="Micro 1 - 10"/>
    <s v="Privado"/>
    <x v="2"/>
    <s v="Nuevo León"/>
    <s v="Monterrey"/>
  </r>
  <r>
    <s v="Despacho vargas valdes y asociados"/>
    <s v="Contreras Estrada Alan Salvador"/>
    <s v="Local"/>
    <s v="Pequeña 11 - 50"/>
    <s v="Privado"/>
    <x v="2"/>
    <s v="Nuevo León"/>
    <s v="Monterrey"/>
  </r>
  <r>
    <s v="DISTRIBUIDORA DE ENLACES ELECTRONICOS"/>
    <s v="Ovalle Cetina Mery Alexandra"/>
    <s v="Nacional"/>
    <s v="Mediana 51 -250"/>
    <s v="Privado"/>
    <x v="1"/>
    <s v="Nuevo León"/>
    <s v="Monterrey"/>
  </r>
  <r>
    <s v="DESPACHO Impuestos 360"/>
    <s v="Sanchez Palacios Corina"/>
    <s v="Local"/>
    <s v="Micro 1 - 10"/>
    <s v="Privado"/>
    <x v="6"/>
    <s v="Nuevo León"/>
    <s v="Monterrey"/>
  </r>
  <r>
    <s v="DEF ASESORES"/>
    <s v="Briones Alonso Arturo"/>
    <s v="Local"/>
    <s v="Micro 1 - 10"/>
    <s v="Privado"/>
    <x v="12"/>
    <s v="Nuevo León"/>
    <s v="Monterrey"/>
  </r>
  <r>
    <s v="DECO SEGUROS"/>
    <s v="Garcia Orozco Marisol"/>
    <s v="Nacional"/>
    <s v="Pequeña 11 - 50"/>
    <s v="Privado"/>
    <x v="28"/>
    <s v="Nuevo León"/>
    <s v="San Pedro Garza Garcia"/>
  </r>
  <r>
    <s v="DENSO"/>
    <s v="Barbosa Ana"/>
    <s v="Trasnacional"/>
    <s v="Grande 251 - En adelante"/>
    <s v="Privado"/>
    <x v="13"/>
    <s v="Nuevo León"/>
    <s v="Apodaca"/>
  </r>
  <r>
    <s v="DESPACHO MONTEMAYOR"/>
    <s v="Montemayor Altamirano Olegario"/>
    <s v="Local"/>
    <s v="Micro 1 - 10"/>
    <s v="Privado"/>
    <x v="2"/>
    <s v="Nuevo León"/>
    <s v="Monterrey"/>
  </r>
  <r>
    <s v="Danfoss"/>
    <s v="Salas Cuellar Javier "/>
    <s v="Multinacional-Internacional"/>
    <s v="Grande 251 - En adelante"/>
    <s v="Privado"/>
    <x v="23"/>
    <s v="Nuevo León"/>
    <s v="Apodaca"/>
  </r>
  <r>
    <s v="Dirección de Auditoría Interna de la U.A.N.L."/>
    <s v="Bojorquez Saucedo Laura Melina "/>
    <s v="Local"/>
    <s v="Grande 251 - En adelante"/>
    <s v="Educativo"/>
    <x v="29"/>
    <s v="Nuevo León"/>
    <s v="San Nicolas de los Garza"/>
  </r>
  <r>
    <s v="DRAXON"/>
    <s v="Gomez Ortega Angel Miguel"/>
    <s v="Local"/>
    <s v="Micro 1 - 10"/>
    <s v="Privado"/>
    <x v="6"/>
    <s v="Nuevo León"/>
    <s v="Monterrey"/>
  </r>
  <r>
    <s v="DIRECCION DE EDUCACION DIGITAL"/>
    <s v="Garcia Waldman David Horacio"/>
    <s v="Local"/>
    <s v="Grande 251 - En adelante"/>
    <s v="Educativo"/>
    <x v="14"/>
    <s v="Nuevo León"/>
    <s v="San Nicolas de los Garza"/>
  </r>
  <r>
    <s v="DON DESPENSA SA DE CV"/>
    <s v="Garcia Valdez Jose Diego "/>
    <s v="Local"/>
    <s v="Mediana 51 -250"/>
    <s v="Privado"/>
    <x v="21"/>
    <s v="Nuevo León"/>
    <s v="Monterrey"/>
  </r>
  <r>
    <s v="DOOSAN"/>
    <s v="Avila Torres Anahi Elena"/>
    <s v="Trasnacional"/>
    <s v="Grande 251 - En adelante"/>
    <s v="Privado"/>
    <x v="3"/>
    <s v="Nuevo León"/>
    <s v="Monterrey"/>
  </r>
  <r>
    <s v="Delizazon"/>
    <s v="Mercado Bañuelos Iñaki"/>
    <s v="Local"/>
    <s v="Pequeña 11 - 50"/>
    <s v="Privado"/>
    <x v="10"/>
    <s v="Nuevo León"/>
    <s v="Monterrey"/>
  </r>
  <r>
    <s v="Despacho Montemayor"/>
    <s v="Morales Elías José Francisco"/>
    <s v="Local"/>
    <s v="Pequeña 11 - 50"/>
    <s v="Privado"/>
    <x v="6"/>
    <s v="Nuevo León"/>
    <s v="Monterrey"/>
  </r>
  <r>
    <s v="DIEGO IVAN IBARRA ALDANA-BM Asesores"/>
    <s v="Ibarra Aldana Diego Ibarra"/>
    <s v="Local"/>
    <s v="Micro 1 - 10"/>
    <s v="Privado"/>
    <x v="2"/>
    <s v="Nuevo León"/>
    <s v="Monterrey"/>
  </r>
  <r>
    <s v="DESPACHO TREVIÑO GARZA CONTADORES"/>
    <s v="Hernández Aguilar Mayra Elizabeth"/>
    <s v="Local"/>
    <s v="Pequeña 11 - 50"/>
    <s v="Privado"/>
    <x v="6"/>
    <s v="Nuevo León"/>
    <s v="Monterrey"/>
  </r>
  <r>
    <s v="DIOCESIS DE LINARES"/>
    <s v="Anaya García Manuel"/>
    <s v="Local"/>
    <s v="Mediana 51 -250"/>
    <s v="Social"/>
    <x v="30"/>
    <s v="Nuevo León"/>
    <s v="Monterrey"/>
  </r>
  <r>
    <s v="ENERGY COOLER GREEN, S.A. DE C.V."/>
    <s v="Sanches Camarillo Samantha"/>
    <s v="Nacional"/>
    <s v="Mediana 51 -250"/>
    <s v="Privado"/>
    <x v="3"/>
    <s v="Nuevo León"/>
    <s v="Monterrey"/>
  </r>
  <r>
    <s v="ENVIAFLORES"/>
    <s v="Treviño Tamez Antonio Karim"/>
    <s v="Local"/>
    <s v="Mediana 51 -250"/>
    <s v="Privado"/>
    <x v="14"/>
    <s v="Nuevo León"/>
    <s v="Monterrey"/>
  </r>
  <r>
    <s v="ENNEA"/>
    <s v="Rivera Resendiz Maria Fernanda"/>
    <s v="Local"/>
    <s v="Pequeña 11 - 50"/>
    <s v="Privado"/>
    <x v="6"/>
    <s v="Nuevo León"/>
    <s v="Monterrey"/>
  </r>
  <r>
    <s v="EMPIRE NATIONAL INC"/>
    <s v="Ibarra Montoya Hernan"/>
    <s v="Multinacional-Internacional"/>
    <s v="Pequeña 11 - 50"/>
    <s v="Privado"/>
    <x v="31"/>
    <s v="Nuevo León"/>
    <s v="San Pedro Garza Garcia"/>
  </r>
  <r>
    <s v="EXPERTOS EN NEGOCIOS IUS SA DE CV"/>
    <s v="Gallegos Cherreti Gissel Anahi "/>
    <s v="Local"/>
    <s v="Pequeña 11 - 50"/>
    <s v="Privado"/>
    <x v="6"/>
    <s v="Nuevo León"/>
    <s v="San Pedro Garza Garcia"/>
  </r>
  <r>
    <s v="EMERMEX"/>
    <s v="Cuellar Ruiz Sergio Adolfo"/>
    <s v="Nacional"/>
    <s v="Mediana 51 -250"/>
    <s v="Privado"/>
    <x v="3"/>
    <s v="Nuevo León"/>
    <s v="Apodaca"/>
  </r>
  <r>
    <s v="ESAB"/>
    <s v="Tamez Rios Alfonso Eduardo"/>
    <s v="Trasnacional"/>
    <s v="Grande 251 - En adelante"/>
    <s v="Privado"/>
    <x v="3"/>
    <s v="Nuevo León"/>
    <s v="Apodaca"/>
  </r>
  <r>
    <s v="Estrategias y Asesores en Seguridad Social"/>
    <s v="Cabrera Galindo Jose Alberto "/>
    <s v="Local"/>
    <s v="Micro 1 - 10"/>
    <s v="Privado"/>
    <x v="6"/>
    <s v="Nuevo León"/>
    <s v="Monterrey"/>
  </r>
  <r>
    <s v="El Texano "/>
    <s v="Niño Díaz Jessica Lourdes "/>
    <s v="Local"/>
    <s v="Pequeña 11 - 50"/>
    <s v="Privado"/>
    <x v="10"/>
    <s v="Nuevo León"/>
    <s v="Monterrey"/>
  </r>
  <r>
    <s v="EDGAR GUADALUPE QUIROZ SENDEJO-Despacho contable agua viva"/>
    <s v="Quiroz Sendejo Edgar Guadalupe"/>
    <s v="Local"/>
    <s v="Micro 1 - 10"/>
    <s v="Privado"/>
    <x v="2"/>
    <s v="Nuevo León"/>
    <s v="Monterrey"/>
  </r>
  <r>
    <s v="EVELYN AYDEE GARCIA ALEMAN-GAAE Facturación"/>
    <s v="García Aleman Evelyn Aydee"/>
    <s v="Local"/>
    <s v="Micro 1 - 10"/>
    <s v="Privado"/>
    <x v="2"/>
    <s v="Nuevo León"/>
    <s v="Monterrey"/>
  </r>
  <r>
    <s v="7 ELEVEN MEXICO SA DE CV"/>
    <s v="Elizondo Martinez José Mario"/>
    <s v="Nacional"/>
    <s v="Grande 251 - En adelante"/>
    <s v="Privado"/>
    <x v="22"/>
    <s v="Nuevo León"/>
    <s v="Monterrey"/>
  </r>
  <r>
    <s v="ENLAK LOGISTICA"/>
    <s v="Campo Martinez Luz E."/>
    <s v="Nacional"/>
    <s v="Mediana 51 -250"/>
    <s v="Privado"/>
    <x v="4"/>
    <s v="Nuevo León"/>
    <s v="Monterrey"/>
  </r>
  <r>
    <s v="Empacados Grupo"/>
    <s v="N/A"/>
    <s v="Local"/>
    <s v="Mediana 51 -250"/>
    <s v="Privado"/>
    <x v="6"/>
    <s v="Nuevo León"/>
    <s v="Monterrey"/>
  </r>
  <r>
    <s v="EPICOR BUSINESS SOLUTIONS MEXICO"/>
    <s v="Garcia Jr. Martin Roberto"/>
    <s v="Trasnacional"/>
    <s v="Grande 251 - En adelante"/>
    <s v="Privado"/>
    <x v="19"/>
    <s v="Nuevo León"/>
    <s v="Monterrey"/>
  </r>
  <r>
    <s v="EQUIPO AUTOMOTRIZ AMERICANA-Joyson Safety Systems"/>
    <s v="Velez Ramos Alexis Javier"/>
    <s v="Local"/>
    <s v="Grande 251 - En adelante"/>
    <s v="Privado"/>
    <x v="13"/>
    <s v="Nuevo León"/>
    <s v="Monterrey"/>
  </r>
  <r>
    <s v="FIDEPROES"/>
    <s v="Perez Sandoval Guadalupe Armida"/>
    <s v="Local"/>
    <s v="Pequeña 11 - 50"/>
    <s v="Social"/>
    <x v="32"/>
    <s v="Nuevo León"/>
    <s v="Monterrey"/>
  </r>
  <r>
    <s v="Financiería MEXI"/>
    <s v="Garza Baez Carmen Carolina"/>
    <s v="Nacional"/>
    <s v="Pequeña 11 - 50"/>
    <s v="Social"/>
    <x v="2"/>
    <s v="Nuevo León"/>
    <s v="Monterrey"/>
  </r>
  <r>
    <s v="Farmacias benavides"/>
    <s v="Guerra Martinez Miralda Aide"/>
    <s v="Nacional"/>
    <s v="Grande 251 - En adelante"/>
    <s v="Privado"/>
    <x v="24"/>
    <s v="Nuevo León"/>
    <s v="Monterrey"/>
  </r>
  <r>
    <s v="FLUIDMASTER"/>
    <s v="Cruz Moreno Damaris Estefania"/>
    <s v="Multinacional-Internacional"/>
    <s v="Grande 251 - En adelante"/>
    <s v="Privado"/>
    <x v="23"/>
    <s v="Nuevo León"/>
    <s v="Guadalupe"/>
  </r>
  <r>
    <s v="FULTRA"/>
    <s v="Mora Garza Norma Leticia "/>
    <s v="Nacional"/>
    <s v="Grande 251 - En adelante"/>
    <s v="Privado"/>
    <x v="4"/>
    <s v="Nuevo León"/>
    <s v="Monterrey"/>
  </r>
  <r>
    <s v="Facultad de ciencias biologicas"/>
    <s v="Rodríguez Garza Ramón Gerardo"/>
    <s v="Local"/>
    <s v="Grande 251 - En adelante"/>
    <s v="Educativo"/>
    <x v="11"/>
    <s v="Nuevo León"/>
    <s v="San Nicolas de los Garza"/>
  </r>
  <r>
    <s v="FIME"/>
    <s v="Villegas Guzman Cristina Sarai"/>
    <s v="Local"/>
    <s v="Grande 251 - En adelante"/>
    <s v="Educativo"/>
    <x v="11"/>
    <s v="Nuevo León"/>
    <s v="San Nicolas de los Garza"/>
  </r>
  <r>
    <s v="FOD"/>
    <s v="Chapa Guadiana Daniel"/>
    <s v="Local"/>
    <s v="Mediana 51 -250"/>
    <s v="Educativo"/>
    <x v="11"/>
    <s v="Nuevo León"/>
    <s v="San Nicolas de los Garza"/>
  </r>
  <r>
    <s v="FASTENAL"/>
    <s v="Salinas Alcocer Yssel"/>
    <s v="Trasnacional"/>
    <s v="Grande 251 - En adelante"/>
    <s v="Privado"/>
    <x v="4"/>
    <s v="Nuevo León"/>
    <s v="Apodaca"/>
  </r>
  <r>
    <s v="FMMINMOBILIARIA"/>
    <s v="Acosta Cázares Gustavo"/>
    <s v="Local"/>
    <s v="Pequeña 11 - 50"/>
    <s v="Privado"/>
    <x v="18"/>
    <s v="Nuevo León"/>
    <s v="Monterrey"/>
  </r>
  <r>
    <s v="Facultad de ciencias quimicas"/>
    <s v="Gracia Vásquez Yolanda Araceli"/>
    <s v="Local"/>
    <s v="Grande 251 - En adelante"/>
    <s v="Educativo"/>
    <x v="11"/>
    <s v="Nuevo León"/>
    <s v="San Nicolas de los Garza"/>
  </r>
  <r>
    <s v="F1RST LAN"/>
    <s v="Chantaca Lopez Jose Andres"/>
    <s v="Multinacional-Internacional"/>
    <s v="Grande 251 - En adelante"/>
    <s v="Privado"/>
    <x v="14"/>
    <s v="Nuevo León"/>
    <s v="Monterrey"/>
  </r>
  <r>
    <s v="FABRICA DE DULCES RAVI SA DE CV"/>
    <s v="Villareal Arredondo Raúl"/>
    <s v="Nacional"/>
    <s v="Mediana 51 -250"/>
    <s v="Privado"/>
    <x v="3"/>
    <s v="Nuevo León"/>
    <s v="Monterrey"/>
  </r>
  <r>
    <s v="FLECOSA SA DE CV"/>
    <s v="Duran Ramirez Laura Lucia"/>
    <s v="Nacional"/>
    <s v="Mediana 51 -250"/>
    <s v="Privado"/>
    <x v="4"/>
    <s v="Nuevo León"/>
    <s v="Apodaca"/>
  </r>
  <r>
    <s v="FIDENCIO CABRAL CASAS-CyA Contadores y Asesores"/>
    <s v="cabral Casas Fidencio"/>
    <s v="Local"/>
    <s v="Micro 1 - 10"/>
    <s v="Privado"/>
    <x v="12"/>
    <s v="Nuevo León"/>
    <s v="Monterrey"/>
  </r>
  <r>
    <s v="FORTIO CONNECTIONS"/>
    <s v="Manrique de Lara Diego Arroniz"/>
    <s v="Nacional"/>
    <s v="Pequeña 11 - 50"/>
    <s v="Privado"/>
    <x v="32"/>
    <s v="Nuevo León"/>
    <s v="San Pedro Garza Garcia"/>
  </r>
  <r>
    <s v="FERRETERIA Y MATERIALES PARA CONSTRUCCION SALDAÑA-Ferreterias Saldañas"/>
    <s v="Saldaña Aldana José Andrés"/>
    <s v="Local"/>
    <s v="Pequeña 11 - 50"/>
    <s v="Privado"/>
    <x v="22"/>
    <s v="Nuevo León"/>
    <s v="Monterrey"/>
  </r>
  <r>
    <s v="FOOD SOLUTIONS S.A DE C.V"/>
    <s v="Cid del Padro Raymundo Lafaire"/>
    <s v="Nacional"/>
    <s v="Mediana 51 -250"/>
    <s v="Privado"/>
    <x v="10"/>
    <s v="Nuevo León"/>
    <s v="Monterrey"/>
  </r>
  <r>
    <s v="FABIOLA LUISA AVILA ZAPATA"/>
    <s v="Avila Zapata Fabiola Luisa"/>
    <m/>
    <m/>
    <m/>
    <x v="33"/>
    <m/>
    <m/>
  </r>
  <r>
    <s v="GAIM REGIOMONTANA"/>
    <s v="Barboza Peña Adalia"/>
    <s v="Local"/>
    <s v="Pequeña 11 - 50"/>
    <s v="Privado"/>
    <x v="3"/>
    <s v="Nuevo León"/>
    <s v="Apodaca"/>
  </r>
  <r>
    <s v="Grupo Galeria"/>
    <s v="Rangel Cardenas Miguel A. "/>
    <s v="Local"/>
    <s v="Mediana 51 -250"/>
    <s v="Privado"/>
    <x v="18"/>
    <s v="Nuevo León"/>
    <s v="Monterrey"/>
  </r>
  <r>
    <s v="Genie Cuality"/>
    <s v="Saucedo Estrada Ivonne Elizabeth"/>
    <s v="Nacional"/>
    <s v="Pequeña 11 - 50"/>
    <s v="Privado"/>
    <x v="6"/>
    <s v="Nuevo León"/>
    <s v="Monterrey"/>
  </r>
  <r>
    <s v="GRUPO QUIRAN"/>
    <s v="Campos Rivera Juan Alejandro "/>
    <s v="Nacional"/>
    <s v="Mediana 51 -250"/>
    <s v="Privado"/>
    <x v="4"/>
    <s v="Nuevo León"/>
    <s v="Apodaca"/>
  </r>
  <r>
    <s v="GARZA GALVAN &amp; ASOCIADOS"/>
    <s v="Torres Machorro Luis Alexis "/>
    <s v="Local"/>
    <s v="Micro 1 - 10"/>
    <s v="Privado"/>
    <x v="12"/>
    <s v="Nuevo León"/>
    <s v="Monterrey"/>
  </r>
  <r>
    <s v="GRUPO CHAVANA"/>
    <s v="Almaguer Solis Alma Yuliana"/>
    <s v="Local"/>
    <s v="Mediana 51 -250"/>
    <s v="Privado"/>
    <x v="34"/>
    <s v="Nuevo León"/>
    <s v="Monterrey"/>
  </r>
  <r>
    <s v="Garcia y Asociados"/>
    <s v="Garcia Peña Felix Rene"/>
    <s v="Local"/>
    <s v="Micro 1 - 10"/>
    <s v="Privado"/>
    <x v="12"/>
    <s v="Nuevo León"/>
    <s v="Monterrey"/>
  </r>
  <r>
    <s v="Gestion Mercantil Interactiva"/>
    <s v="Reyes Ramirez Yessica"/>
    <s v="Local"/>
    <s v="Micro 1 - 10"/>
    <s v="Privado"/>
    <x v="12"/>
    <s v="Nuevo León"/>
    <s v="Monterrey"/>
  </r>
  <r>
    <s v="GNC"/>
    <s v="Salazar del Angel Anahi"/>
    <s v="Multinacional-Internacional"/>
    <s v="Grande 251 - En adelante"/>
    <s v="Privado"/>
    <x v="3"/>
    <s v="Nuevo León"/>
    <s v="Monterrey"/>
  </r>
  <r>
    <s v="Grabados Monterrey"/>
    <s v="Duran Elizondo Daniela"/>
    <s v="Local"/>
    <s v="Pequeña 11 - 50"/>
    <s v="Privado"/>
    <x v="1"/>
    <s v="Nuevo León"/>
    <s v="Monterrey"/>
  </r>
  <r>
    <s v="Grupo Comwor"/>
    <s v="Flores Estrada Luis Gerardo"/>
    <s v="Local"/>
    <s v="Pequeña 11 - 50"/>
    <s v="Privado"/>
    <x v="6"/>
    <s v="Nuevo León"/>
    <s v="Apodaca"/>
  </r>
  <r>
    <s v="Grupo daltile"/>
    <s v="Salazar Valeria"/>
    <s v="Trasnacional"/>
    <s v="Grande 251 - En adelante"/>
    <s v="Privado"/>
    <x v="4"/>
    <s v="Nuevo León"/>
    <s v="San Nicolas de los Garza"/>
  </r>
  <r>
    <s v="Grupo GP"/>
    <s v="Ahumada sanchez Arnulfo Luis"/>
    <s v="Nacional"/>
    <s v="Grande 251 - En adelante"/>
    <s v="Privado"/>
    <x v="8"/>
    <s v="Nuevo León"/>
    <s v="San Pedro Garza Garcia"/>
  </r>
  <r>
    <s v="Grupo Industrial SINCO"/>
    <s v="Villarreal Hugo"/>
    <s v="Nacional"/>
    <s v="Mediana 51 -250"/>
    <s v="Privado"/>
    <x v="21"/>
    <s v="Nuevo León"/>
    <s v="Santa Catarina"/>
  </r>
  <r>
    <s v="Grupo Heineken"/>
    <s v="Uriegas Polanco Brenda"/>
    <s v="Trasnacional"/>
    <s v="Grande 251 - En adelante"/>
    <s v="Privado"/>
    <x v="21"/>
    <s v="Nuevo León"/>
    <s v="Monterrey"/>
  </r>
  <r>
    <s v="Gonzáles Solís "/>
    <s v="Suarez Davila Demy Damaris"/>
    <s v="Local"/>
    <s v="Mediana 51 -250"/>
    <s v="Privado"/>
    <x v="12"/>
    <s v="Nuevo León"/>
    <s v="Monterrey"/>
  </r>
  <r>
    <s v="Grupo Acero FDZ"/>
    <s v="Ramírez Bravo Jose Alonso"/>
    <s v="Nacional"/>
    <s v="Mediana 51 -250"/>
    <s v="Privado"/>
    <x v="21"/>
    <s v="Nuevo León"/>
    <s v="Apodaca"/>
  </r>
  <r>
    <s v="Grupo LOGUINEXT"/>
    <s v="Franco Leal Iliana Patricia"/>
    <s v="Multinacional-Internacional"/>
    <s v="Grande 251 - En adelante"/>
    <s v="Privado"/>
    <x v="19"/>
    <s v="Nuevo León"/>
    <s v="Monterrey"/>
  </r>
  <r>
    <s v="GENTOR SERVICIOS SA DE CV"/>
    <s v="Lepri Lacueva Mercedes"/>
    <s v="Local"/>
    <s v="Pequeña 11 - 50"/>
    <s v="Privado"/>
    <x v="17"/>
    <s v="Nuevo León"/>
    <s v="Monterrey"/>
  </r>
  <r>
    <s v="GARYLOP RENTAL EQUIPMENT"/>
    <s v="Nájera Carrizales María Fernanda"/>
    <s v="Local"/>
    <s v="Pequeña 11 - 50"/>
    <s v="Privado"/>
    <x v="22"/>
    <s v="Nuevo León"/>
    <s v="Apodaca"/>
  </r>
  <r>
    <s v="GEOPROSPECT SA DE CV"/>
    <s v="Marín Solís Juan Daniel"/>
    <s v="Nacional"/>
    <s v="Mediana 51 -250"/>
    <s v="Privado"/>
    <x v="14"/>
    <s v="Nuevo León"/>
    <s v="Monterrey"/>
  </r>
  <r>
    <s v="G&amp;G PROFESSIONAL CARBIDE TOOL"/>
    <s v="Gallegos Martinez Karely"/>
    <s v="Multinacional-Internacional"/>
    <s v="Mediana 51 -250"/>
    <s v="Privado"/>
    <x v="3"/>
    <s v="Nuevo León"/>
    <s v="Apodaca"/>
  </r>
  <r>
    <s v="GLA CI"/>
    <s v="Rodriguez Contreras Martín"/>
    <s v="Nacional"/>
    <s v="Pequeña 11 - 50"/>
    <s v="Privado"/>
    <x v="21"/>
    <s v="Nuevo León"/>
    <s v="Monterrey"/>
  </r>
  <r>
    <s v="GRUPO TOKA DE MEXICO SALUD INTEGRAL"/>
    <s v="Brewster García Susana"/>
    <s v="Nacional"/>
    <s v="Grande 251 - En adelante"/>
    <s v="Privado"/>
    <x v="29"/>
    <s v="Nuevo León"/>
    <s v="Monterrey"/>
  </r>
  <r>
    <s v="GÜNTNER DE MEXICO SA DE CV"/>
    <s v="Velázquez Ortega David Alejandro"/>
    <s v="Multinacional-Internacional"/>
    <s v="Grande 251 - En adelante"/>
    <s v="Privado"/>
    <x v="3"/>
    <s v="Nuevo León"/>
    <s v="Apodaca"/>
  </r>
  <r>
    <s v="HEB"/>
    <s v="Firias Dinorah"/>
    <s v="Multinacional-Internacional"/>
    <s v="Grande 251 - En adelante"/>
    <s v="Privado"/>
    <x v="22"/>
    <s v="Nuevo León"/>
    <s v="San Pedro Garza Garcia"/>
  </r>
  <r>
    <s v="HYUNDAI"/>
    <s v="Barboza Lopez Daniel"/>
    <s v="Trasnacional"/>
    <s v="Grande 251 - En adelante"/>
    <s v="Privado"/>
    <x v="13"/>
    <s v="Nuevo León"/>
    <s v="Pesqueria"/>
  </r>
  <r>
    <s v="Hospital Universitario UANL"/>
    <s v="Salinas Zertuche Alfonso"/>
    <s v="Local"/>
    <s v="Grande 251 - En adelante"/>
    <s v="Social"/>
    <x v="24"/>
    <s v="Nuevo León"/>
    <s v="Monterrey"/>
  </r>
  <r>
    <s v="HFZ-CONTADORES"/>
    <s v="Cavazos Estrada Eliezer jehu"/>
    <s v="Local"/>
    <s v="Mediana 51 -250"/>
    <s v="Privado"/>
    <x v="12"/>
    <s v="Nuevo León"/>
    <s v="Monterrey"/>
  </r>
  <r>
    <s v="Haldex"/>
    <s v="Becerra Becerra Marcela"/>
    <s v="Trasnacional"/>
    <s v="Grande 251 - En adelante"/>
    <s v="Privado"/>
    <x v="3"/>
    <s v="Nuevo León"/>
    <s v="Apodaca"/>
  </r>
  <r>
    <s v="Hospital Veterinario Dr. Serna"/>
    <s v="Garza Salinas Gilberto Muricio"/>
    <s v="Local"/>
    <s v="Pequeña 11 - 50"/>
    <s v="Privado"/>
    <x v="24"/>
    <s v="Nuevo León"/>
    <s v="Monterrey"/>
  </r>
  <r>
    <s v="HEB-Obispado"/>
    <s v="Frias Almaguer Dinorah"/>
    <s v="Multinacional-Internacional"/>
    <s v="Grande 251 - En adelante"/>
    <s v="Privado"/>
    <x v="22"/>
    <s v="Nuevo León"/>
    <s v="Monterrey"/>
  </r>
  <r>
    <s v="Hussman"/>
    <s v="Dominguez del Angel Eleazar Uriel"/>
    <s v="Multinacional-Internacional"/>
    <s v="Grande 251 - En adelante"/>
    <s v="Privado"/>
    <x v="3"/>
    <s v="Nuevo León"/>
    <s v="Cienega de Flores"/>
  </r>
  <r>
    <s v="Hanon SYSTEMS"/>
    <s v="Ródriguez Gonzalez Janeth"/>
    <s v="Multinacional-Internacional"/>
    <s v="Grande 251 - En adelante"/>
    <s v="Privado"/>
    <x v="3"/>
    <s v="Nuevo León"/>
    <s v="Apodaca"/>
  </r>
  <r>
    <s v="HEINEKEN"/>
    <s v="Melendez Ortiz Andrea Montserrat"/>
    <s v="Multinacional-Internacional"/>
    <s v="Grande 251 - En adelante"/>
    <s v="Privado"/>
    <x v="22"/>
    <s v="Nuevo León"/>
    <s v="Monterrey"/>
  </r>
  <r>
    <s v="HOLIDAY INN EXPRESS"/>
    <s v="Gonzales perez Angelica Elena"/>
    <s v="Multinacional-Internacional"/>
    <s v="Grande 251 - En adelante"/>
    <s v="Privado"/>
    <x v="35"/>
    <s v="Nuevo León"/>
    <s v="Monterrey"/>
  </r>
  <r>
    <s v="HERRAMIENTAS ALMEK SA DE CV"/>
    <s v="Garza Mendoza Jose Domingo"/>
    <s v="Nacional"/>
    <s v="Mediana 51 -250"/>
    <s v="Privado"/>
    <x v="3"/>
    <s v="Nuevo León"/>
    <s v="Apodaca"/>
  </r>
  <r>
    <s v="HOSPITAL Y SPA CLUB MASCOTA SA DE CV-Club Mascota"/>
    <s v="Vargas Sotelo Rocío"/>
    <s v="Local"/>
    <s v="Pequeña 11 - 50"/>
    <s v="Privado"/>
    <x v="24"/>
    <s v="Nuevo León"/>
    <s v="Monterrey"/>
  </r>
  <r>
    <s v="H. CONGRESO DEL ESTADO DE NUEVO LEON"/>
    <s v="Flores Aguilar Fernando Alberto"/>
    <s v="Local"/>
    <s v="Grande 251 - En adelante"/>
    <s v="Público"/>
    <x v="2"/>
    <s v="Nuevo León"/>
    <s v="Monterrey"/>
  </r>
  <r>
    <s v="INFONAVIT"/>
    <s v="Olivares Resedez Ignacio Jesus"/>
    <s v="Nacional"/>
    <s v="Grande 251 - En adelante"/>
    <s v="Público"/>
    <x v="36"/>
    <s v="Nuevo León"/>
    <s v="Monterrey"/>
  </r>
  <r>
    <s v="ICUMEDICAL"/>
    <s v="Acevedo Cantu Jorge Orlando"/>
    <s v="Multinacional-Internacional"/>
    <s v="Grande 251 - En adelante"/>
    <s v="Público"/>
    <x v="24"/>
    <s v="Nuevo León"/>
    <s v="Apodaca"/>
  </r>
  <r>
    <s v="Inics America"/>
    <s v="Medina Daniel"/>
    <s v="Multinacional-Internacional"/>
    <s v="Mediana 51 -250"/>
    <s v="Privado"/>
    <x v="3"/>
    <s v="Nuevo León"/>
    <s v="Apodaca"/>
  </r>
  <r>
    <s v="IMPULSO COMERCIAL INTERNACIONAL"/>
    <s v="Martinez Moreno Daniel"/>
    <s v="Local"/>
    <s v="Grande 251 - En adelante"/>
    <s v="Privado"/>
    <x v="20"/>
    <s v="Nuevo León"/>
    <s v="Monterrey"/>
  </r>
  <r>
    <s v="Industrias Tuk"/>
    <s v="Russer Heb Edna "/>
    <s v="Local"/>
    <s v="Mediana 51 -250"/>
    <s v="Privado"/>
    <x v="23"/>
    <s v="Nuevo León"/>
    <s v="Monterrey"/>
  </r>
  <r>
    <s v="INTERNATIONAL BEARINGS SERVICE"/>
    <s v="Cortinas Favela Veronica"/>
    <s v="Multinacional-Internacional"/>
    <s v="Pequeña 11 - 50"/>
    <s v="Privado"/>
    <x v="21"/>
    <s v="Nuevo León"/>
    <s v="Monterrey"/>
  </r>
  <r>
    <s v="International Motors"/>
    <s v="Nedvedovch Cohen Daniel "/>
    <s v="Multinacional-Internacional"/>
    <s v="Grande 251 - En adelante"/>
    <s v="Privado"/>
    <x v="13"/>
    <s v="Nuevo León"/>
    <s v="General Escobedo"/>
  </r>
  <r>
    <s v="ISSSTELEON"/>
    <s v="Garcia Reyna Gabriela"/>
    <s v="Local"/>
    <s v="Grande 251 - En adelante"/>
    <s v="Público"/>
    <x v="24"/>
    <s v="Nuevo León"/>
    <s v="Monterrey"/>
  </r>
  <r>
    <s v="IZAC GARCIA. Asesoria Fiscal"/>
    <s v="Garcia Jaramillo jaime"/>
    <s v="Local"/>
    <s v="Pequeña 11 - 50"/>
    <s v="Privado"/>
    <x v="12"/>
    <s v="Nuevo León"/>
    <s v="Monterrey"/>
  </r>
  <r>
    <s v="Industrias RL"/>
    <s v="Garza Vazquez Delia Deyanira"/>
    <s v="Local"/>
    <s v="Mediana 51 -250"/>
    <s v="Privado"/>
    <x v="23"/>
    <s v="Nuevo León"/>
    <s v="Apodaca"/>
  </r>
  <r>
    <s v="Instituto Estatal de la Juventud"/>
    <s v="Cavazos Valdés Edelmiro"/>
    <s v="Local"/>
    <s v="Mediana 51 -250"/>
    <s v="Público"/>
    <x v="26"/>
    <s v="Nuevo León"/>
    <s v="Monterrey"/>
  </r>
  <r>
    <s v="INDUSTRIAL COEX MEXICO"/>
    <s v="Fernandez Soto Luis Mauricio"/>
    <s v="Nacional"/>
    <s v="Mediana 51 -250"/>
    <s v="Privado"/>
    <x v="3"/>
    <s v="Nuevo León"/>
    <s v="Apodaca"/>
  </r>
  <r>
    <s v="IRS DE MEXICO SA DE CV"/>
    <s v="Ramirez Macías Luis Angel"/>
    <s v="Nacional"/>
    <s v="Mediana 51 -250"/>
    <s v="Privado"/>
    <x v="15"/>
    <s v="Nuevo León"/>
    <s v="Apodaca"/>
  </r>
  <r>
    <s v="INDUSTRIAS ELECTRONICAS PACIFICO-Schneider Electric"/>
    <s v="Osorio Neyra Daniela"/>
    <s v="Trasnacional"/>
    <s v="Grande 251 - En adelante"/>
    <s v="Privado"/>
    <x v="3"/>
    <s v="Nuevo León"/>
    <s v="Apodaca"/>
  </r>
  <r>
    <s v="INVERSIONES ARTHA POP-ARTHA POP"/>
    <s v="Lozano Bruster Yazmin Leticia"/>
    <s v="Nacional"/>
    <s v="Pequeña 11 - 50"/>
    <s v="Privado"/>
    <x v="20"/>
    <s v="Nuevo León"/>
    <s v="Monterrey"/>
  </r>
  <r>
    <s v="INTEGRINOX SA DE CV"/>
    <s v="González Zurita Selina Abigail"/>
    <s v="Nacional"/>
    <s v="Mediana 51 -250"/>
    <s v="Privado"/>
    <x v="3"/>
    <s v="Nuevo León"/>
    <s v="Apodaca"/>
  </r>
  <r>
    <s v="INOAC POLYTEC DE MEXICO SA DE CV"/>
    <s v="Sanchez Maldonado Daniel"/>
    <s v="Trasnacional"/>
    <s v="Grande 251 - En adelante"/>
    <s v="Privado"/>
    <x v="3"/>
    <s v="Nuevo León"/>
    <s v="Santa Catarina"/>
  </r>
  <r>
    <s v="INSTITUTO GUADALUPE DE LINARES"/>
    <s v="Calderon Mireles Karla Yarida"/>
    <s v="Local"/>
    <s v="Mediana 51 -250"/>
    <s v="Educativo"/>
    <x v="11"/>
    <s v="Nuevo León"/>
    <s v="Linares"/>
  </r>
  <r>
    <s v="JESUS ENRIQUE CHAVEZ DURAN-despacho"/>
    <s v="Chaveza Duran Jesus Enrique "/>
    <s v="Local"/>
    <s v="Micro 1 - 10"/>
    <s v="Privado"/>
    <x v="12"/>
    <s v="Nuevo León"/>
    <s v="Monterrey"/>
  </r>
  <r>
    <s v="Jica Contadores"/>
    <s v="Covarrubias Quintero Jose Alejandro"/>
    <s v="Local"/>
    <s v="Micro 1 - 10"/>
    <s v="Privado"/>
    <x v="12"/>
    <s v="Nuevo León"/>
    <s v="Monterrey"/>
  </r>
  <r>
    <s v="John Deere"/>
    <s v="n/a"/>
    <s v="Multinacional-Internacional"/>
    <s v="Grande 251 - En adelante"/>
    <s v="Privado"/>
    <x v="27"/>
    <s v="Nuevo León"/>
    <s v="Monterrey"/>
  </r>
  <r>
    <s v="Jose Alfredo Pedraza Carrillo-Despacho Fiscal"/>
    <s v="Pedraza Carrillo Jose Alfredo"/>
    <s v="Local"/>
    <s v="Micro 1 - 10"/>
    <s v="Privado"/>
    <x v="12"/>
    <s v="Nuevo León"/>
    <s v="Monterrey"/>
  </r>
  <r>
    <s v="Jose Arturo Moctezuma-Despacho Contable"/>
    <s v="Moctezuma Mladonado Jose Arturo"/>
    <s v="Local"/>
    <s v="Micro 1 - 10"/>
    <s v="Privado"/>
    <x v="12"/>
    <s v="Nuevo León"/>
    <s v="Monterrey"/>
  </r>
  <r>
    <s v="Jaguar"/>
    <s v="Reyna Solis Aylin Lizet"/>
    <s v="Trasnacional"/>
    <s v="Grande 251 - En adelante"/>
    <s v="Privado"/>
    <x v="13"/>
    <s v="Nuevo León"/>
    <s v="San Pedro Garza Garcia"/>
  </r>
  <r>
    <s v="JAVER"/>
    <s v="Gandara Vargas Dante Rudyard"/>
    <s v="Nacional"/>
    <s v="Grande 251 - En adelante"/>
    <s v="Privado"/>
    <x v="36"/>
    <s v="Nuevo León"/>
    <s v="Monterrey"/>
  </r>
  <r>
    <s v="Jones Plastic Engineering de Monterrey"/>
    <s v="Mendoza Cisneros Gustavo Ezequiel"/>
    <s v="Trasnacional"/>
    <s v="Grande 251 - En adelante"/>
    <s v="Privado"/>
    <x v="3"/>
    <s v="Nuevo León"/>
    <s v="Apodaca"/>
  </r>
  <r>
    <s v="JUAN CONCEPCION ALMARAZ MARQUEZ-Despacho Fiscal y Contable"/>
    <s v="Almaraz Marquez Juan Concepcion"/>
    <s v="Local"/>
    <s v="Micro 1 - 10"/>
    <s v="Privado"/>
    <x v="12"/>
    <s v="Nuevo León"/>
    <s v="Monterrey"/>
  </r>
  <r>
    <s v=" KIA"/>
    <s v="Medrano Navarro Juan Rafael "/>
    <s v="Trasnacional"/>
    <s v="Grande 251 - En adelante"/>
    <s v="Privado"/>
    <x v="13"/>
    <s v="Nuevo León"/>
    <s v="Pesqueria"/>
  </r>
  <r>
    <s v="KIA Cleber "/>
    <s v="Perez Mata Victoria Guadalupe"/>
    <s v="Nacional"/>
    <s v="Grande 251 - En adelante"/>
    <s v="Privado"/>
    <x v="22"/>
    <s v="Nuevo León"/>
    <s v="Monterrey"/>
  </r>
  <r>
    <s v="Kisa Kelvin Ingieneria"/>
    <s v="Villareal Cantú Martín Gerardo"/>
    <s v="Nacional"/>
    <s v="Pequeña 11 - 50"/>
    <s v="Privado"/>
    <x v="19"/>
    <s v="Nuevo León"/>
    <s v="Monterrey"/>
  </r>
  <r>
    <s v="KAYAKU SAFTY SYSTEMS DE MÉXICO"/>
    <s v="Maruyama junya"/>
    <s v="Trasnacional"/>
    <s v="Grande 251 - En adelante"/>
    <s v="Privado"/>
    <x v="19"/>
    <s v="Nuevo León"/>
    <s v="Apodaca"/>
  </r>
  <r>
    <s v="KITOV SOPORTE CORPORATIVO"/>
    <s v="Guerra Mancillas Alexis"/>
    <s v="Nacional"/>
    <s v="Pequeña 11 - 50"/>
    <s v="Privado"/>
    <x v="6"/>
    <s v="Nuevo León"/>
    <s v="Monterrey"/>
  </r>
  <r>
    <s v="LOCOMOTIVE MANUFACTURING AND SERVICES, S.A. DE C.V."/>
    <s v="Orihuela Camacho Kena Patricia"/>
    <s v="Multinacional-Internacional"/>
    <s v="Grande 251 - En adelante"/>
    <s v="Privado"/>
    <x v="23"/>
    <s v="Nuevo León"/>
    <s v="Apodaca"/>
  </r>
  <r>
    <s v="Lámina Desplegada SA de CV"/>
    <s v="Gonzalez Obregon Marco Aurelio"/>
    <s v="Nacional"/>
    <s v="Mediana 51 -250"/>
    <s v="Privado"/>
    <x v="0"/>
    <s v="Nuevo León"/>
    <s v="Monterrey"/>
  </r>
  <r>
    <s v="LAURA HERCILIA SALINAS TREVIÑO-GRUPO RC"/>
    <s v="Salinas Treviño Laura Hercilia"/>
    <s v="Local"/>
    <s v="Micro 1 - 10"/>
    <s v="Privado"/>
    <x v="12"/>
    <s v="Nuevo León"/>
    <s v="Monterrey"/>
  </r>
  <r>
    <s v="Logrand Entertainment group"/>
    <s v="Jimenez Alvarez Maria Fernanda Diana"/>
    <s v="Nacional"/>
    <s v="Grande 251 - En adelante"/>
    <s v="Privado"/>
    <x v="34"/>
    <s v="Nuevo León"/>
    <s v="Monterrey"/>
  </r>
  <r>
    <s v="Lopez Oria y Asociados"/>
    <s v="Lopez Rodriguez Ivan Pavel"/>
    <s v="Local"/>
    <s v="Pequeña 11 - 50"/>
    <s v="Privado"/>
    <x v="12"/>
    <s v="Nuevo León"/>
    <s v="Guadalupe"/>
  </r>
  <r>
    <s v="Lubricantes de America SA de CV"/>
    <s v="Villanueva Esquivel Margarita"/>
    <s v="Nacional"/>
    <s v="Mediana 51 -250"/>
    <s v="Privado"/>
    <x v="21"/>
    <s v="Nuevo León"/>
    <s v="Monterrey"/>
  </r>
  <r>
    <s v="LUIS ALBERTO PADRON VEGA-Padron &amp; Villalobos Contadores"/>
    <s v="Rodriguez Padrón Hugo Daniel"/>
    <s v="Local"/>
    <s v="Micro 1 - 10"/>
    <s v="Privado"/>
    <x v="2"/>
    <s v="Nuevo León"/>
    <s v="Monterrey"/>
  </r>
  <r>
    <s v="LA MISION SUPERMERCADOS S.A. DE C.V."/>
    <s v="Galindo Barrera Eddy Alexis"/>
    <s v="Local"/>
    <s v="Mediana 51 -250"/>
    <s v="Privado"/>
    <x v="10"/>
    <s v="Nuevo León"/>
    <s v="Monterrey"/>
  </r>
  <r>
    <s v="LOGISTICA INGENIERIA Y SISTEMAS-LIS Soluciones"/>
    <s v="N/A"/>
    <s v="Nacional"/>
    <s v="Mediana 51 -250"/>
    <s v="Privado"/>
    <x v="4"/>
    <s v="Nuevo León"/>
    <s v="Monterrey"/>
  </r>
  <r>
    <s v="LUIS ANTONIO GUAJARDO CHAVEZ-Servicios Contables Guajardo"/>
    <s v="Guajardo Chavez Luis Antonio"/>
    <s v="Local"/>
    <s v="Micro 1 - 10"/>
    <s v="Privado"/>
    <x v="12"/>
    <s v="Nuevo León"/>
    <s v="Monterrey"/>
  </r>
  <r>
    <s v="LEGO OPERACIONES DE MEXICO"/>
    <s v="Ramos Arturo"/>
    <s v="Trasnacional"/>
    <s v="Grande 251 - En adelante"/>
    <s v="Privado"/>
    <x v="21"/>
    <s v="Nuevo León"/>
    <s v="Cienega de Flores"/>
  </r>
  <r>
    <s v="MUVA"/>
    <s v="Mendoza Javier"/>
    <s v="Local"/>
    <s v="Pequeña 11 - 50"/>
    <s v="Privado"/>
    <x v="21"/>
    <s v="Nuevo León"/>
    <s v="Monterrey"/>
  </r>
  <r>
    <s v="Maqicsa"/>
    <s v="Casillas Soto Rufina Idala"/>
    <s v="Nacional"/>
    <s v="Mediana 51 -250"/>
    <s v="Privado"/>
    <x v="3"/>
    <s v="Nuevo León"/>
    <s v="Monterrey"/>
  </r>
  <r>
    <s v="MONFROY GROUP"/>
    <s v="Lazaro Flores Gerardo Jair"/>
    <s v="Nacional"/>
    <s v="Pequeña 11 - 50"/>
    <s v="Privado"/>
    <x v="12"/>
    <s v="Nuevo León"/>
    <s v="Monterrey"/>
  </r>
  <r>
    <s v="MAGNA-Magna Mirror Systems Monterrey"/>
    <s v="Hernandez Amaro Erendida "/>
    <s v="Multinacional-Internacional"/>
    <s v="Grande 251 - En adelante"/>
    <s v="Privado"/>
    <x v="13"/>
    <s v="Nuevo León"/>
    <s v="Monterrey"/>
  </r>
  <r>
    <s v="MAQRO"/>
    <s v="Garcia Monzon Jose Antonio"/>
    <s v="Nacional"/>
    <s v="Grande 251 - En adelante"/>
    <s v="Privado"/>
    <x v="8"/>
    <s v="Nuevo León"/>
    <s v="San Nicolas de los Garza"/>
  </r>
  <r>
    <s v="METALSA"/>
    <s v="Cepeda Rodriguez Miguel Angel"/>
    <s v="Multinacional-Internacional"/>
    <s v="Grande 251 - En adelante"/>
    <s v="Privado"/>
    <x v="13"/>
    <s v="Nuevo León"/>
    <s v="Apodaca"/>
  </r>
  <r>
    <s v="MIDEA"/>
    <s v="Montoya Camacho Eddy "/>
    <s v="Multinacional-Internacional"/>
    <s v="Mediana 51 -250"/>
    <s v="Privado"/>
    <x v="7"/>
    <s v="Nuevo León"/>
    <s v="Monterrey"/>
  </r>
  <r>
    <s v="MOLIENDAS &amp; ALIMENTOS"/>
    <s v="Rodriguez Alberto Joel "/>
    <s v="Nacional"/>
    <s v="Mediana 51 -250"/>
    <s v="Privado"/>
    <x v="10"/>
    <s v="Nuevo León"/>
    <s v="Monterrey"/>
  </r>
  <r>
    <s v="MONDI MEXICO SRL DE CV"/>
    <s v="llona Perez Hilda Adriana"/>
    <s v="Multinacional-Internacional"/>
    <s v="Grande 251 - En adelante"/>
    <s v="Privado"/>
    <x v="23"/>
    <s v="Nuevo León"/>
    <s v="San Nicolas de los Garza"/>
  </r>
  <r>
    <s v="Mora y Vázquez"/>
    <s v="Covarrubias Enrique "/>
    <s v="Local"/>
    <s v="Pequeña 11 - 50"/>
    <s v="Privado"/>
    <x v="12"/>
    <s v="Nuevo León"/>
    <s v="Monterrey"/>
  </r>
  <r>
    <s v="Municipio de General Escobedo"/>
    <s v="Amezquita Puentes Martha Celia "/>
    <s v="Local"/>
    <s v="Grande 251 - En adelante"/>
    <s v="Público"/>
    <x v="26"/>
    <s v="Nuevo León"/>
    <s v="General Escobedo"/>
  </r>
  <r>
    <s v="MUNICIPIO DE SANTIAGO NUEVO LEON"/>
    <s v="Contreras Mosivais Jose Gerardo "/>
    <s v="Local"/>
    <s v="Grande 251 - En adelante"/>
    <s v="Público"/>
    <x v="26"/>
    <s v="Nuevo León"/>
    <s v="Monterrey"/>
  </r>
  <r>
    <s v="Mc Marquez Contadores"/>
    <s v="Marquez Soto Gloria Leticia"/>
    <s v="Local"/>
    <s v="Micro 1 - 10"/>
    <s v="Privado"/>
    <x v="12"/>
    <s v="Nuevo León"/>
    <s v="Monterrey"/>
  </r>
  <r>
    <s v="Marathon Electric Manufacturing"/>
    <s v="Ricardo Jesus Lopez Valdez"/>
    <s v="Trasnacional"/>
    <s v="Grande 251 - En adelante"/>
    <s v="Privado"/>
    <x v="23"/>
    <s v="Nuevo León"/>
    <s v="Apodaca"/>
  </r>
  <r>
    <s v="Monsa Montacargas"/>
    <s v="Montiel Tijerina Faruk Beder"/>
    <s v="Local"/>
    <s v="Pequeña 11 - 50"/>
    <s v="Privado"/>
    <x v="22"/>
    <s v="Nuevo León"/>
    <s v="Monterrey"/>
  </r>
  <r>
    <s v="Municipio de General Escobedo"/>
    <s v="Amezquita Puentes Martha Celia "/>
    <s v="Local"/>
    <s v="Grande 251 - En adelante"/>
    <s v="Público"/>
    <x v="26"/>
    <s v="Nuevo León"/>
    <s v="General Escobedo"/>
  </r>
  <r>
    <s v="Materiales Saldaña"/>
    <s v="Aldana de la Cruz lleana"/>
    <s v="Local"/>
    <s v="Mediana 51 -250"/>
    <s v="Privado"/>
    <x v="22"/>
    <s v="Nuevo León"/>
    <s v="Monterrey"/>
  </r>
  <r>
    <s v="MRO BUSSINS"/>
    <s v="Rodolfo Montoya Nuñez"/>
    <s v="Nacional"/>
    <s v="Pequeña 11 - 50"/>
    <s v="Privado"/>
    <x v="3"/>
    <s v="Nuevo León"/>
    <s v="Apodaca"/>
  </r>
  <r>
    <s v="Marmon Keystone"/>
    <s v="Garza del Rio Edgar "/>
    <s v="Trasnacional"/>
    <s v="Grande 251 - En adelante"/>
    <s v="Privado"/>
    <x v="0"/>
    <s v="Nuevo León"/>
    <s v="Apodaca"/>
  </r>
  <r>
    <s v="MINERALES NO METÁLICOS DEL NORESTE"/>
    <s v="Gonzalez Olvera Reyes"/>
    <s v="Nacional"/>
    <s v="Mediana 51 -250"/>
    <s v="Privado"/>
    <x v="21"/>
    <s v="Nuevo León"/>
    <s v="Monterrey"/>
  </r>
  <r>
    <s v="MANUEL CAPETILLO HERNANDEZ-CAPETILLO ASEOSRES."/>
    <s v="Capetillo Hernandez Manuel"/>
    <s v="Local"/>
    <s v="Micro 1 - 10"/>
    <s v="Privado"/>
    <x v="12"/>
    <s v="Nuevo León"/>
    <s v="Monterrey"/>
  </r>
  <r>
    <s v="MAQUINAS DIESEL-Madisa Cat"/>
    <s v="Resendez Torres Alfredo"/>
    <s v="Nacional"/>
    <s v="Grande 251 - En adelante"/>
    <s v="Privado"/>
    <x v="22"/>
    <s v="Nuevo León"/>
    <s v="Monterrey"/>
  </r>
  <r>
    <s v="MUNICIPIO DE CADEREYTA JIMENEZ NUEVO LEON-DIF Municipal"/>
    <s v="Calderón García Genaro Nicolás"/>
    <s v="Local"/>
    <s v="Grande 251 - En adelante"/>
    <s v="Público"/>
    <x v="26"/>
    <s v="Nuevo León"/>
    <s v="Cadereyta "/>
  </r>
  <r>
    <s v="MAHLE SHARED SERVICES MEXICO-Centro de servicios compartidos"/>
    <s v="Gamez Leal Angelica Analy"/>
    <s v="Trasnacional"/>
    <s v="Grande 251 - En adelante"/>
    <s v="Privado"/>
    <x v="20"/>
    <s v="Nuevo León"/>
    <s v="Monterrey"/>
  </r>
  <r>
    <s v="MUNICIPIO DE APODACA NUEVO LEON-Gobierno Municipal de Apodaca"/>
    <s v="Garcia Ayala Maria Teresa"/>
    <s v="Local"/>
    <s v="Grande 251 - En adelante"/>
    <s v="Público"/>
    <x v="26"/>
    <s v="Nuevo León"/>
    <s v="Apodaca"/>
  </r>
  <r>
    <s v="MUNICIPIO DE CERRALVO"/>
    <s v="Madrigal Elias Angel Isaac"/>
    <s v="Local"/>
    <s v="Mediana 51 -250"/>
    <s v="Público"/>
    <x v="26"/>
    <s v="Nuevo León"/>
    <s v="Cerralvo"/>
  </r>
  <r>
    <s v="MARCO PANADERIA INDUSTRIAL-El nuevo nopa panaderia y pasteles"/>
    <s v="Hernandez Salazar Ana Karina"/>
    <s v="Local"/>
    <s v="Mediana 51 -250"/>
    <s v="Privado"/>
    <x v="10"/>
    <s v="Nuevo León"/>
    <s v="Monterrey"/>
  </r>
  <r>
    <s v="MARTÍNEZ MAGALLANES CONSULTORES"/>
    <s v="Ramirez Torres Claudia Elizabeth"/>
    <s v="Local"/>
    <s v="Micro 1 - 10"/>
    <s v="Privado"/>
    <x v="6"/>
    <s v="Nuevo León"/>
    <s v="Monterrey"/>
  </r>
  <r>
    <s v="MOLINERA DE MÉXICO-Molinera de Nuevo León"/>
    <s v="Varela lopez Francisco Antonio"/>
    <s v="Nacional"/>
    <s v="Grande 251 - En adelante"/>
    <s v="Privado"/>
    <x v="21"/>
    <s v="Nuevo León"/>
    <s v="Monterrey"/>
  </r>
  <r>
    <s v="MUNICIPIO SABINAS HIDALGO NUEVO LEON"/>
    <s v="Guzmán Colunga Alfredo"/>
    <s v="Local"/>
    <s v="Mediana 51 -250"/>
    <s v="Público"/>
    <x v="26"/>
    <s v="Nuevo León"/>
    <s v="Sabinas Hidalgo"/>
  </r>
  <r>
    <s v="NOVASOL"/>
    <s v="Cantu Garza Sandra Elizabeth"/>
    <s v="Nacional"/>
    <s v="Pequeña 11 - 50"/>
    <s v="Privado"/>
    <x v="9"/>
    <s v="Nuevo León"/>
    <s v="General Escobedo"/>
  </r>
  <r>
    <s v="Nangman Logistics"/>
    <s v="Oh Seonghyun"/>
    <s v="Multinacional-Internacional"/>
    <s v="Micro 1 - 10"/>
    <s v="Privado"/>
    <x v="4"/>
    <s v="Nuevo León"/>
    <s v="Monterrey"/>
  </r>
  <r>
    <s v="Nemak"/>
    <s v="Ibarra Escobedo Debanhi"/>
    <s v="Multinacional-Internacional"/>
    <s v="Grande 251 - En adelante"/>
    <s v="Privado"/>
    <x v="13"/>
    <s v="Nuevo León"/>
    <s v="Monterrey"/>
  </r>
  <r>
    <s v="Nira Transportes"/>
    <s v="n/a"/>
    <s v="Local"/>
    <s v="Mediana 51 -250"/>
    <s v="Privado"/>
    <x v="31"/>
    <s v="Nuevo León"/>
    <s v="Monterrey"/>
  </r>
  <r>
    <s v="Nissan-Linares"/>
    <s v="Netro Torres Cesar Guadalupe "/>
    <s v="Trasnacional"/>
    <s v="Grande 251 - En adelante"/>
    <s v="Privado"/>
    <x v="22"/>
    <s v="Nuevo León"/>
    <s v="Linares"/>
  </r>
  <r>
    <s v="Navasa"/>
    <s v="Carrera Valdéz Estefanhí Anahí"/>
    <s v="Nacional"/>
    <s v="Mediana 51 -250"/>
    <s v="Privado"/>
    <x v="23"/>
    <s v="Nuevo León"/>
    <s v="Monterrey"/>
  </r>
  <r>
    <s v="NAZO REPRESENTACIONES Y SERVICIOS"/>
    <s v="Vargas Gonzalez Daniel"/>
    <s v="Nacional"/>
    <s v="Pequeña 11 - 50"/>
    <s v="Privado"/>
    <x v="21"/>
    <s v="Nuevo León"/>
    <s v="Monterrey"/>
  </r>
  <r>
    <s v="NGK CERAMICS MEXICO"/>
    <s v="Cenobio Mendoza Diana Marllene"/>
    <s v="Trasnacional"/>
    <s v="Grande 251 - En adelante"/>
    <s v="Privado"/>
    <x v="13"/>
    <s v="Nuevo León"/>
    <s v="Apodaca"/>
  </r>
  <r>
    <s v="NELSON FIDEL SANCHEZ MUÑOZ"/>
    <s v="Sánchez Muñoz Nelson Fidel"/>
    <m/>
    <m/>
    <m/>
    <x v="33"/>
    <m/>
    <m/>
  </r>
  <r>
    <s v="Nancy Guadalupe Flores Serna-Asesoria fiscal y contable"/>
    <s v="Flores Serna Nancy Guadalupe"/>
    <s v="Local"/>
    <s v="Micro 1 - 10"/>
    <s v="Privado"/>
    <x v="12"/>
    <s v="Nuevo León"/>
    <s v="Monterrey"/>
  </r>
  <r>
    <s v="ODESSA"/>
    <s v="Turrubiates Grijalva Carlos"/>
    <s v="Nacional"/>
    <s v="Grande 251 - En adelante"/>
    <s v="Privado"/>
    <x v="20"/>
    <s v="Nuevo León"/>
    <s v="Monterrey"/>
  </r>
  <r>
    <s v="OFICHAP"/>
    <s v="Delgado Diaz Jose Luz "/>
    <s v="Nacional"/>
    <s v="Pequeña 11 - 50"/>
    <s v="Público"/>
    <x v="37"/>
    <s v="Nuevo León"/>
    <s v="Monterrey"/>
  </r>
  <r>
    <s v="OLF Asesores"/>
    <s v="Torres Lara Armando Guadalupe "/>
    <s v="Local"/>
    <s v="Micro 1 - 10"/>
    <s v="Privado"/>
    <x v="6"/>
    <s v="Nuevo León"/>
    <s v="Monterrey"/>
  </r>
  <r>
    <s v="ONCARE"/>
    <s v="Rodriguez Rodriguez Cinthia Guadalupe"/>
    <s v="Nacional"/>
    <s v="Mediana 51 -250"/>
    <s v="Privado"/>
    <x v="24"/>
    <s v="Nuevo León"/>
    <s v="Monterrey"/>
  </r>
  <r>
    <s v="OXXO"/>
    <s v="Montoya Medrano Angela Vanessa"/>
    <s v="Trasnacional"/>
    <s v="Grande 251 - En adelante"/>
    <s v="Privado"/>
    <x v="21"/>
    <s v="Nuevo León"/>
    <s v="Monterrey"/>
  </r>
  <r>
    <s v="PARKER SERVICIOS DE MEXICO S.A  DE C.V"/>
    <s v="Navarro Solis Oscar Fernando"/>
    <s v="Trasnacional"/>
    <s v="Grande 251 - En adelante"/>
    <s v="Privado"/>
    <x v="3"/>
    <s v="Nuevo León"/>
    <s v="Apodaca"/>
  </r>
  <r>
    <s v="PROVEEDORA DE INTELIGENCIA GENESIS"/>
    <s v="Rodriguez Salazar Miriam"/>
    <s v="Nacional"/>
    <s v="Pequeña 11 - 50"/>
    <s v="Privado"/>
    <x v="6"/>
    <s v="Nuevo León"/>
    <s v="Monterrey"/>
  </r>
  <r>
    <s v="PROWESS TEAM SA DE CV"/>
    <s v="Vargas Morales Erika "/>
    <s v="Local"/>
    <s v="Mediana 51 -250"/>
    <s v="Privado"/>
    <x v="6"/>
    <s v="Nuevo León"/>
    <s v="Monterrey"/>
  </r>
  <r>
    <s v="PROYDEA"/>
    <s v="Gonzalez Cobos Andres"/>
    <s v="Nacional"/>
    <s v="Pequeña 11 - 50"/>
    <s v="Privado"/>
    <x v="6"/>
    <s v="Nuevo León"/>
    <s v="Monterrey"/>
  </r>
  <r>
    <s v="Palmex"/>
    <s v="Bustamante Treviño Miguel Angel"/>
    <s v="Multinacional-Internacional"/>
    <s v="Grande 251 - En adelante"/>
    <s v="Privado"/>
    <x v="10"/>
    <s v="Nuevo León"/>
    <s v="Santa Catarina"/>
  </r>
  <r>
    <s v="PERFILES LM"/>
    <s v="Peña Salazar Jesus Eliezer"/>
    <s v="Nacional"/>
    <s v="Grande 251 - En adelante"/>
    <s v="Privado"/>
    <x v="0"/>
    <s v="Nuevo León"/>
    <s v="Apodaca"/>
  </r>
  <r>
    <s v="PRACAME"/>
    <s v="Luna de la Torre Alicia Abygail"/>
    <s v="Local"/>
    <s v="Mediana 51 -250"/>
    <s v="Privado"/>
    <x v="27"/>
    <s v="Nuevo León"/>
    <s v="Pesqueria"/>
  </r>
  <r>
    <s v="PRECISION CABLE ASSEMBLIES MEXICO"/>
    <s v="Alonso Mario"/>
    <s v="Multinacional-Internacional"/>
    <s v="Mediana 51 -250"/>
    <s v="Privado"/>
    <x v="23"/>
    <s v="Nuevo León"/>
    <s v="Monterrey"/>
  </r>
  <r>
    <s v="Preparatoria Alvaro Obregón Unidad Linares"/>
    <s v="Silva Arredondo Flor Maria"/>
    <s v="Local"/>
    <s v="Grande 251 - En adelante"/>
    <s v="Educativo"/>
    <x v="26"/>
    <s v="Nuevo León"/>
    <s v="Linares"/>
  </r>
  <r>
    <s v="Pasteleria Emmanuel"/>
    <s v="Almarez Barajas Juan Carlos "/>
    <s v="Local"/>
    <s v="Pequeña 11 - 50"/>
    <s v="Privado"/>
    <x v="22"/>
    <s v="Nuevo León"/>
    <s v="Monterrey"/>
  </r>
  <r>
    <s v="Perez &amp; verastegui y asociados"/>
    <s v="Perez Alvarado Humberto"/>
    <s v="Nacional"/>
    <s v="Micro 1 - 10"/>
    <s v="Privado"/>
    <x v="12"/>
    <s v="Nuevo León"/>
    <s v="Monterrey"/>
  </r>
  <r>
    <s v="Pozik &amp; Simplea Deko"/>
    <s v="Gutierres Garcia Haydee"/>
    <s v="Local"/>
    <s v="Micro 1 - 10"/>
    <s v="Privado"/>
    <x v="38"/>
    <s v="Nuevo León"/>
    <s v="Monterrey"/>
  </r>
  <r>
    <s v="Practica legal y fiscal"/>
    <s v="Cortez Echeverria Mario Alberto"/>
    <s v="Local"/>
    <s v="Micro 1 - 10"/>
    <s v="Privado"/>
    <x v="12"/>
    <s v="Nuevo León"/>
    <s v="Monterrey"/>
  </r>
  <r>
    <s v="Preparatoria 5 UANL"/>
    <s v="Delgado Martinez Ashley Abigail"/>
    <s v="Local"/>
    <s v="Grande 251 - En adelante"/>
    <s v="Educativo"/>
    <x v="26"/>
    <s v="Nuevo León"/>
    <s v="Monterrey"/>
  </r>
  <r>
    <s v="Proveedor de dulces y desechables"/>
    <m/>
    <s v="Local"/>
    <s v="Micro 1 - 10"/>
    <s v="Privado"/>
    <x v="22"/>
    <s v="Nuevo León"/>
    <s v="Monterrey"/>
  </r>
  <r>
    <s v="PARTALUM"/>
    <s v="Campos Cisneros Daniel Hernan"/>
    <s v="Nacional"/>
    <s v="Mediana 51 -250"/>
    <s v="Privado"/>
    <x v="23"/>
    <s v="Nuevo León"/>
    <s v="Apodaca"/>
  </r>
  <r>
    <s v="PRIVARSA"/>
    <s v="Rodriguez santillan Cruz Alicia"/>
    <s v="Nacional"/>
    <s v="Mediana 51 -250"/>
    <s v="Privado"/>
    <x v="3"/>
    <s v="Nuevo León"/>
    <s v="Monterrey"/>
  </r>
  <r>
    <s v="PANEL REY"/>
    <s v="Velázquez Zapata Carlos Augusto "/>
    <s v="Nacional"/>
    <s v="Grande 251 - En adelante"/>
    <s v="Privado"/>
    <x v="23"/>
    <s v="Nuevo León"/>
    <s v="General Escobedo"/>
  </r>
  <r>
    <s v="PREH DE MEXICO SA DE CV"/>
    <s v="Durán Zamora Denisse Arianna"/>
    <s v="Trasnacional"/>
    <s v="Grande 251 - En adelante"/>
    <s v="Privado"/>
    <x v="13"/>
    <s v="Nuevo León"/>
    <s v="Monterrey"/>
  </r>
  <r>
    <s v="PINTURAS INDUSTRIALES Y AUTOMOTRICES GARCIA-Matriz"/>
    <s v="Vizcarra Fuentes Maricela"/>
    <s v="Local"/>
    <s v="Pequeña 11 - 50"/>
    <s v="Privado"/>
    <x v="22"/>
    <s v="Nuevo León"/>
    <s v="Monterrey"/>
  </r>
  <r>
    <s v="PORTEO GLOBAL"/>
    <s v="López García Tania"/>
    <s v="Nacional"/>
    <s v="Mediana 51 -250"/>
    <s v="Privado"/>
    <x v="4"/>
    <s v="Nuevo León"/>
    <s v="Monterrey"/>
  </r>
  <r>
    <s v="PARKER BROWNSVILLE SERVICIOS"/>
    <s v="Sifuentes Ríos María Arcelia"/>
    <s v="Trasnacional"/>
    <s v="Grande 251 - En adelante"/>
    <s v="Privado"/>
    <x v="29"/>
    <s v="Nuevo León"/>
    <s v="Apodaca"/>
  </r>
  <r>
    <s v="PETROCEL TEMEX-alpek polyester"/>
    <s v="Casanova del Angel Dulce Rocío"/>
    <s v="Trasnacional"/>
    <s v="Grande 251 - En adelante"/>
    <s v="Privado"/>
    <x v="9"/>
    <s v="Tamaulipas"/>
    <s v="Altamira "/>
  </r>
  <r>
    <s v="PRODUCTORA BV-Productora Bebida Vida"/>
    <s v="López Hernández Leslie Lizeth"/>
    <s v="Nacional"/>
    <s v="Mediana 51 -250"/>
    <s v="Privado"/>
    <x v="21"/>
    <s v="Nuevo León"/>
    <s v="Monterrey"/>
  </r>
  <r>
    <s v="PREMIUM BRAND DISTRIBUTOR"/>
    <s v="Garza Cruz Elvia Alael"/>
    <s v="Nacional"/>
    <s v="Mediana 51 -250"/>
    <s v="Privado"/>
    <x v="21"/>
    <s v="Nuevo León"/>
    <s v="Monterrey"/>
  </r>
  <r>
    <s v="PROXIMIDAD Y LOGISTICA-OXXO"/>
    <s v="Treviño Trujillo Vaery"/>
    <s v="Trasnacional"/>
    <s v="Grande 251 - En adelante"/>
    <s v="Privado"/>
    <x v="4"/>
    <s v="Nuevo León"/>
    <s v="Monterrey"/>
  </r>
  <r>
    <s v="PAULA IRENE MADRIGAL OVIEDO-Tortilleria Don Juanito"/>
    <s v="Madrigal Oviedo Paula Irene"/>
    <s v="Local"/>
    <s v="Micro 1 - 10"/>
    <s v="Privado"/>
    <x v="22"/>
    <s v="Nuevo León"/>
    <s v="Monterrey"/>
  </r>
  <r>
    <s v="PROVEEDORA DE CLIMAS-Bonificacion Salinas"/>
    <s v="Martínez Martínez Brenda Miroslava"/>
    <m/>
    <m/>
    <m/>
    <x v="33"/>
    <m/>
    <m/>
  </r>
  <r>
    <s v="QUALTIA"/>
    <m/>
    <s v="Nacional"/>
    <s v="Grande 251 - En adelante"/>
    <s v="Privado"/>
    <x v="10"/>
    <s v="Nuevo León"/>
    <s v="San Nicolas de los Garza"/>
  </r>
  <r>
    <s v="Quimicalderas"/>
    <s v="Cruz Cantu Ana Lidia"/>
    <s v="Nacional"/>
    <s v="Pequeña 11 - 50"/>
    <s v="Privado"/>
    <x v="3"/>
    <s v="Nuevo León"/>
    <s v="Monterrey"/>
  </r>
  <r>
    <s v="Quality steel"/>
    <s v="Balderas Reyes Horacio Milton"/>
    <s v="Nacional"/>
    <s v="Pequeña 11 - 50"/>
    <s v="Privado"/>
    <x v="0"/>
    <s v="Nuevo León"/>
    <s v="Guadalupe"/>
  </r>
  <r>
    <s v="Quintero Castillo &amp; Asociados"/>
    <s v="Quintero Hernandez Adriana"/>
    <s v="Nacional"/>
    <s v="Pequeña 11 - 50"/>
    <s v="Privado"/>
    <x v="12"/>
    <s v="Nuevo León"/>
    <s v="San Nicolas de los Garza"/>
  </r>
  <r>
    <s v="Quickpak"/>
    <s v="Bernal Perez Hugo Osvaldo"/>
    <s v="Nacional"/>
    <s v="Mediana 51 -250"/>
    <s v="Privado"/>
    <x v="3"/>
    <s v="Nuevo León"/>
    <s v="Monterrey"/>
  </r>
  <r>
    <s v="Quimmco"/>
    <s v="Sanchez Gonzales Victor  Isaac"/>
    <s v="Nacional"/>
    <s v="Grande 251 - En adelante"/>
    <s v="Privado"/>
    <x v="23"/>
    <s v="Nuevo León"/>
    <s v="Santa Catarina"/>
  </r>
  <r>
    <s v="REDMAN MANUFACTURAS"/>
    <s v="Sifuentes Jaime Leonardo Jairo"/>
    <s v="Nacional"/>
    <s v="Mediana 51 -250"/>
    <s v="Privado"/>
    <x v="23"/>
    <s v="Nuevo León"/>
    <s v="Apodaca"/>
  </r>
  <r>
    <s v="Regal Beloit de Apodaca, S.DE R.L DE C.V"/>
    <s v="Cono Hugo"/>
    <s v="Trasnacional"/>
    <s v="Grande 251 - En adelante"/>
    <s v="Privado"/>
    <x v="3"/>
    <s v="Nuevo León"/>
    <s v="n/a"/>
  </r>
  <r>
    <s v="RENOVACIONES POTENCIALES DE SERVICIOS ELECTRICOS E INDUSTRIALES"/>
    <s v="Guilien Romero Jared Ernesto "/>
    <s v="Local"/>
    <s v="Pequeña 11 - 50"/>
    <s v="Privado"/>
    <x v="3"/>
    <s v="Nuevo León"/>
    <s v="Monterrey"/>
  </r>
  <r>
    <s v="ROSENBERG MEXICO"/>
    <s v="n/a"/>
    <s v="Trasnacional"/>
    <s v="Grande 251 - En adelante"/>
    <s v="Privado"/>
    <x v="3"/>
    <s v="Nuevo León"/>
    <s v="n/a"/>
  </r>
  <r>
    <s v="RECONSTRUCTORA DIAZ"/>
    <s v="Hernandez Castilla Juventino"/>
    <s v="Local"/>
    <s v="Pequeña 11 - 50"/>
    <s v="Privado"/>
    <x v="3"/>
    <s v="Nuevo León"/>
    <s v="Monterrey"/>
  </r>
  <r>
    <s v="Reconstructora Diaz "/>
    <s v="Diaz Diaz Jose Said "/>
    <s v="Local"/>
    <s v="Pequeña 11 - 50"/>
    <s v="Privado"/>
    <x v="3"/>
    <s v="Nuevo León"/>
    <s v="Monterrey"/>
  </r>
  <r>
    <s v="REZNOR"/>
    <s v="Chapa Vela Ruben"/>
    <s v="Trasnacional"/>
    <s v="Grande 251 - En adelante"/>
    <s v="Privado"/>
    <x v="3"/>
    <s v="Nuevo León"/>
    <s v="Monterrey"/>
  </r>
  <r>
    <s v="Red Girasol Sapi"/>
    <s v="n/a"/>
    <s v="Nacional"/>
    <s v="Mediana 51 -250"/>
    <s v="Privado"/>
    <x v="20"/>
    <s v="Nuevo León"/>
    <s v="Monterrey"/>
  </r>
  <r>
    <s v="RP soluciones"/>
    <s v="Guillen Romero Jared Ernesto"/>
    <s v="Nacional"/>
    <s v="Pequeña 11 - 50"/>
    <s v="Privado"/>
    <x v="6"/>
    <s v="Nuevo León"/>
    <s v="Monterrey"/>
  </r>
  <r>
    <s v="Russell Bedford"/>
    <s v="Reyes Ramirez Anet Melissa"/>
    <s v="Multinacional-Internacional"/>
    <s v="Grande 251 - En adelante"/>
    <s v="Privado"/>
    <x v="6"/>
    <s v="Nuevo León"/>
    <s v="Monterrey"/>
  </r>
  <r>
    <s v="RED DE TALENTO EMPRESARIAL"/>
    <s v="Vázquez Castillo Juan Antonio"/>
    <s v="Nacional"/>
    <s v="Pequeña 11 - 50"/>
    <s v="Privado"/>
    <x v="32"/>
    <s v="Nuevo León"/>
    <s v="Monterrey"/>
  </r>
  <r>
    <s v="Roka"/>
    <s v="Kidder Hernandez Roberto Oscar"/>
    <s v="Nacional"/>
    <s v="Mediana 51 -250"/>
    <s v="Privado"/>
    <x v="3"/>
    <s v="Nuevo León"/>
    <s v="Monterrey"/>
  </r>
  <r>
    <s v="RODRIGUEZ LEAL Y CIA SC"/>
    <s v="Rodriguez Flores Hector Ivan"/>
    <s v="Local"/>
    <s v="Pequeña 11 - 50"/>
    <s v="Privado"/>
    <x v="6"/>
    <s v="Nuevo León"/>
    <s v="Monterrey"/>
  </r>
  <r>
    <s v="RIOS Y ASOCIADOS CONSULTORES"/>
    <s v="Rios Rendon Gerardo"/>
    <s v="Local"/>
    <s v="Micro 1 - 10"/>
    <s v="Privado"/>
    <x v="6"/>
    <s v="Nuevo León"/>
    <s v="Monterrey"/>
  </r>
  <r>
    <s v="ROLO TRADING PRODUCTS SA DE CV"/>
    <s v="Conde Martinez Dayli Estefany"/>
    <s v="Nacional"/>
    <s v="Pequeña 11 - 50"/>
    <s v="Privado"/>
    <x v="21"/>
    <s v="Nuevo León"/>
    <s v="Monterrey"/>
  </r>
  <r>
    <s v="Servicios de Transporte Alamo"/>
    <m/>
    <s v="Local"/>
    <s v="Mediana 51 -250"/>
    <s v="Privado"/>
    <x v="31"/>
    <s v="Nuevo León"/>
    <s v="Monterrey"/>
  </r>
  <r>
    <n v="0"/>
    <s v="Miguel A. Rangel Cardenas "/>
    <s v="Nacional"/>
    <s v="Pequeña 11 - 50"/>
    <s v="Privado"/>
    <x v="3"/>
    <s v="Nuevo León"/>
    <s v="n/a"/>
  </r>
  <r>
    <s v="SISTEMAS COMPUTACIONALES INTEGRALES, S.A. DE C.V."/>
    <s v="Lara Torre Matilde Cristina"/>
    <s v="Nacional"/>
    <s v="Pequeña 11 - 50"/>
    <s v="Privado"/>
    <x v="19"/>
    <s v="Nuevo León"/>
    <s v="Monterrey"/>
  </r>
  <r>
    <s v="STIVA"/>
    <s v="Aldana Riopelle Danya Marcela"/>
    <s v="Nacional"/>
    <s v="Grande 251 - En adelante"/>
    <s v="Privado"/>
    <x v="18"/>
    <s v="Nuevo León"/>
    <s v="Monterrey"/>
  </r>
  <r>
    <s v="Schneider Electric"/>
    <s v="Osorio Neyra Daniela"/>
    <s v="Trasnacional"/>
    <s v="Grande 251 - En adelante"/>
    <s v="Privado"/>
    <x v="3"/>
    <s v="Nuevo León"/>
    <s v="Apodaca"/>
  </r>
  <r>
    <s v="SISAMEX"/>
    <s v="Ramirez Reyes Liliana Elizabeth"/>
    <s v="Nacional"/>
    <s v="Grande 251 - En adelante"/>
    <s v="Privado"/>
    <x v="13"/>
    <s v="Nuevo León"/>
    <s v="General Escobedo"/>
  </r>
  <r>
    <s v="SERVICIOS CONTABLES GUAJARDO"/>
    <s v="Guajardo Chavez Luis Antonio"/>
    <s v="Local"/>
    <s v="Micro 1 - 10"/>
    <s v="Privado"/>
    <x v="12"/>
    <s v="Nuevo León"/>
    <s v="Monterrey"/>
  </r>
  <r>
    <s v="SanBarr Grupo"/>
    <s v="Garza de la Maza Alejandro "/>
    <s v="Nacional"/>
    <s v="Mediana 51 -250"/>
    <s v="Privado"/>
    <x v="3"/>
    <s v="Nuevo León"/>
    <s v="Monterrey"/>
  </r>
  <r>
    <s v="SCISA"/>
    <s v="Lopez Avila Veronica Cristina "/>
    <s v="Nacional"/>
    <s v="Mediana 51 -250"/>
    <s v="Privado"/>
    <x v="8"/>
    <s v="Nuevo León"/>
    <s v="Monterrey"/>
  </r>
  <r>
    <s v="Servicios de Agua y Drenaje Mty"/>
    <s v="Granados de Anda Carlos Emilio "/>
    <s v="Local"/>
    <s v="Grande 251 - En adelante"/>
    <s v="Público"/>
    <x v="26"/>
    <s v="Nuevo León"/>
    <s v="Monterrey"/>
  </r>
  <r>
    <s v="Servicios de Inspección en la Construcción SIC"/>
    <s v="Moya Rodriguez Osvaldo "/>
    <s v="Local"/>
    <s v="Pequeña 11 - 50"/>
    <s v="Privado"/>
    <x v="32"/>
    <s v="Nuevo León"/>
    <s v="Monterrey"/>
  </r>
  <r>
    <s v="SISTEMAS AUTOMOTRICES DE MEXICO"/>
    <s v="Ramirez Reyes Liliana Elizabeth "/>
    <s v="Multinacional-Internacional"/>
    <s v="Mediana 51 -250"/>
    <s v="Privado"/>
    <x v="13"/>
    <s v="Nuevo León"/>
    <s v="General Escobedo"/>
  </r>
  <r>
    <s v="Sagastra "/>
    <s v="Hernandez Garcia Alberto de Jesus"/>
    <s v="Nacional"/>
    <s v="Pequeña 11 - 50"/>
    <s v="Privado"/>
    <x v="3"/>
    <s v="Nuevo León"/>
    <s v="Monterrey"/>
  </r>
  <r>
    <s v="Servicios de limpieza de inmuebles"/>
    <s v="Garcia Yañez Gilda Lizeth "/>
    <s v="Local"/>
    <s v="Pequeña 11 - 50"/>
    <s v="Privado"/>
    <x v="39"/>
    <s v="Nuevo León"/>
    <s v="Monterrey"/>
  </r>
  <r>
    <s v="SIMEPRODE"/>
    <s v="Chapa Rangel Ernesto"/>
    <s v="Local"/>
    <s v="Grande 251 - En adelante"/>
    <s v="Público"/>
    <x v="40"/>
    <s v="Nuevo León"/>
    <s v="Monterrey"/>
  </r>
  <r>
    <s v="Smithers-Oasis"/>
    <s v="Gamez Estrada Juan Carlos"/>
    <s v="Trasnacional"/>
    <s v="Grande 251 - En adelante"/>
    <s v="Privado"/>
    <x v="3"/>
    <s v="Nuevo León"/>
    <s v="Apodaca"/>
  </r>
  <r>
    <s v="Socio en area contable y fiscal"/>
    <s v="Hernandez Garcia Alberto de Jesus"/>
    <s v="Local"/>
    <s v="Micro 1 - 10"/>
    <s v="Privado"/>
    <x v="12"/>
    <s v="Nuevo León"/>
    <s v="Monterrey"/>
  </r>
  <r>
    <s v="SODISA"/>
    <s v="Manzano Muñiz Jose Aaron"/>
    <s v="Nacional"/>
    <s v="Mediana 51 -250"/>
    <s v="Privado"/>
    <x v="21"/>
    <s v="Nuevo León"/>
    <s v="Monterrey"/>
  </r>
  <r>
    <s v="Solistica"/>
    <s v="Limones Castillo Guillermina"/>
    <s v="Trasnacional"/>
    <s v="Grande 251 - En adelante"/>
    <s v="Privado"/>
    <x v="4"/>
    <s v="Nuevo León"/>
    <s v="Monterrey"/>
  </r>
  <r>
    <s v="SACOFI"/>
    <s v="Flores Castillo Elizabeth"/>
    <s v="Nacional"/>
    <s v="Pequeña 11 - 50"/>
    <s v="Privado"/>
    <x v="12"/>
    <s v="Nuevo León"/>
    <s v="Monterrey"/>
  </r>
  <r>
    <s v="SHN Sistemas Hidronicos del Norte"/>
    <s v="n/a"/>
    <s v="Local"/>
    <s v="Pequeña 11 - 50"/>
    <s v="Privado"/>
    <x v="3"/>
    <s v="Nuevo León"/>
    <s v="Monterrey"/>
  </r>
  <r>
    <s v="SERVICIOS GASOLINEROS OXXO"/>
    <s v="Gonzales Becerra Cesia Anais"/>
    <s v="Trasnacional"/>
    <s v="Grande 251 - En adelante"/>
    <s v="Privado"/>
    <x v="22"/>
    <s v="Nuevo León"/>
    <s v="Monterrey"/>
  </r>
  <r>
    <s v="SALAS SALAZAR Y ASOCIADOS"/>
    <s v="Salas Hernandez Mauro"/>
    <s v="Local"/>
    <s v="Pequeña 11 - 50"/>
    <s v="Privado"/>
    <x v="12"/>
    <s v="Nuevo León"/>
    <s v="Monterrey"/>
  </r>
  <r>
    <s v="Software AJ"/>
    <s v="Hernandez Costilla Juventino"/>
    <s v="Nacional"/>
    <s v="Pequeña 11 - 50"/>
    <s v="Privado"/>
    <x v="19"/>
    <s v="Nuevo León"/>
    <s v="Monterrey"/>
  </r>
  <r>
    <s v="Securitas"/>
    <s v="Garcia Aguilar Adriana"/>
    <s v="Trasnacional"/>
    <s v="Grande 251 - En adelante"/>
    <s v="Privado"/>
    <x v="5"/>
    <s v="Nuevo León"/>
    <s v="Monterrey"/>
  </r>
  <r>
    <s v="SISTEMAS Y COMBUSTIBLE PARA IMPRESIONA- SISCOPRINT, S.A. DE C.V."/>
    <s v="Carrillo Meza Luis Uriel"/>
    <s v="Nacional"/>
    <s v="Pequeña 11 - 50"/>
    <s v="Privado"/>
    <x v="19"/>
    <s v="Nuevo León"/>
    <s v="Monterrey"/>
  </r>
  <r>
    <s v="SERVICIOS ADMINISTRATIVOS FISCALES CONTABLES Y JURIDICOS"/>
    <s v="Heredia Saldaña Rene"/>
    <s v="Local"/>
    <s v="Micro 1 - 10"/>
    <s v="Privado"/>
    <x v="12"/>
    <s v="Nuevo León"/>
    <s v="Monterrey"/>
  </r>
  <r>
    <s v="SOPORTE GENERAL SA DE CV"/>
    <s v="Loera Navarro Janelly Andrea"/>
    <s v="Nacional"/>
    <s v="Pequeña 11 - 50"/>
    <s v="Privado"/>
    <x v="17"/>
    <s v="Nuevo León"/>
    <s v="Monterrey"/>
  </r>
  <r>
    <s v="SIGMA ALIMENTOS CORPORATIVO"/>
    <s v="Segura Rivera Humberto"/>
    <s v="Trasnacional"/>
    <s v="Grande 251 - En adelante"/>
    <s v="Privado"/>
    <x v="10"/>
    <s v="Nuevo León"/>
    <s v="Monterrey"/>
  </r>
  <r>
    <s v="SCANPAINT SERVICIOS ESPECIALIZADOS"/>
    <s v="Garza Alvarado Bibiana Ylajali"/>
    <s v="Nacional"/>
    <s v="Grande 251 - En adelante"/>
    <s v="Privado"/>
    <x v="16"/>
    <s v="Nuevo León"/>
    <s v="General Escobedo"/>
  </r>
  <r>
    <s v="SALTUS LOGISTICS SA DE CV"/>
    <s v="Trujillo Cepeda Aideé Patricia"/>
    <s v="Nacional"/>
    <s v="Mediana 51 -250"/>
    <s v="Privado"/>
    <x v="31"/>
    <s v="Nuevo León"/>
    <s v="Monterrey"/>
  </r>
  <r>
    <s v="Symrise"/>
    <s v="Alanis Garza Wendy Marlene"/>
    <s v="Trasnacional"/>
    <s v="Grande 251 - En adelante"/>
    <s v="Privado"/>
    <x v="10"/>
    <s v="Nuevo León"/>
    <s v="Apodaca"/>
  </r>
  <r>
    <s v="SYNDESI RH-Syndesi Talento Humano"/>
    <s v="Torres Mandujano Ervey Leonardo"/>
    <s v="Nacional"/>
    <s v="Pequeña 11 - 50"/>
    <s v="Privado"/>
    <x v="32"/>
    <s v="Nuevo León"/>
    <s v="Monterrey"/>
  </r>
  <r>
    <s v="STEELCASE MONTERREY"/>
    <s v="Kiara Daniela"/>
    <s v="Trasnacional"/>
    <s v="Grande 251 - En adelante"/>
    <s v="Privado"/>
    <x v="3"/>
    <s v="Nuevo León"/>
    <s v="Monterrey"/>
  </r>
  <r>
    <s v="SERVICIOS EDUCATIVOS ALEF DE MONTERREY-Instituto Educativo ALEF"/>
    <s v="Hernandez Garza Erick Daniel"/>
    <s v="Local"/>
    <s v="Mediana 51 -250"/>
    <s v="Educativo"/>
    <x v="26"/>
    <s v="Nuevo León"/>
    <s v="Monterrey"/>
  </r>
  <r>
    <s v="SECOVI SAPI DE CV"/>
    <s v="Garcia Garcia Francisco Javier"/>
    <s v="Nacional"/>
    <s v="Pequeña 11 - 50"/>
    <s v="Privado"/>
    <x v="6"/>
    <s v="Nuevo León"/>
    <s v="Monterrey"/>
  </r>
  <r>
    <s v="SEGUETAS LENMEX-Maraga"/>
    <s v="Medina Chaparra Judith Marlene"/>
    <s v="Nacional"/>
    <s v="Mediana 51 -250"/>
    <s v="Privado"/>
    <x v="3"/>
    <s v="Nuevo León"/>
    <s v="Apodaca"/>
  </r>
  <r>
    <s v="SIGMA ALIMENTOS LACTEOS-Planta de Sabinas Hidalgo"/>
    <s v="Coronado Pecina Alejandra maribel"/>
    <s v="Trasnacional"/>
    <s v="Grande 251 - En adelante"/>
    <s v="Privado"/>
    <x v="10"/>
    <s v="Nuevo León"/>
    <s v="Sabinas Hidalgo"/>
  </r>
  <r>
    <s v="SYSTEMS ACUMULADORES"/>
    <s v="Briones Banda Jose Ricardo"/>
    <s v="Nacional"/>
    <s v="Mediana 51 -250"/>
    <s v="Privado"/>
    <x v="22"/>
    <s v="Nuevo León"/>
    <s v="Monterrey"/>
  </r>
  <r>
    <s v="SERVICIOS FULTRA-Amparts"/>
    <s v="Chairez Ramírez Miriam"/>
    <s v="Nacional"/>
    <s v="Mediana 51 -250"/>
    <s v="Privado"/>
    <x v="13"/>
    <s v="Nuevo León"/>
    <s v="Monterrey"/>
  </r>
  <r>
    <s v="SERVICIOS INDUSTRIALES ANCE"/>
    <s v="Carvajal Morales Angel Daniel"/>
    <s v="Nacional"/>
    <s v="Mediana 51 -250"/>
    <s v="Privado"/>
    <x v="32"/>
    <s v="Nuevo León"/>
    <s v="Apodaca"/>
  </r>
  <r>
    <s v="SOPORTE INDUSTRIAL MAQUILACERO-ABX Steel Solution"/>
    <s v="Sánchez Villarreal Yesika Anet"/>
    <s v="Nacional"/>
    <s v="Mediana 51 -250"/>
    <s v="Privado"/>
    <x v="0"/>
    <s v="Nuevo León"/>
    <s v="Apodaca"/>
  </r>
  <r>
    <s v="SURTIDOR ELECTRICO DE MONTERREY S.A DE C.V."/>
    <s v="Barrera Vargas Jose Luis"/>
    <m/>
    <m/>
    <m/>
    <x v="33"/>
    <m/>
    <m/>
  </r>
  <r>
    <s v="TRAMEX AMBIENTAL S.A. DE C.V."/>
    <s v="Martinez Jimenez Jesus Eduardo "/>
    <s v="Nacional"/>
    <s v="Mediana 51 -250"/>
    <s v="Privado"/>
    <x v="40"/>
    <s v="Nuevo León"/>
    <s v="Monterrey"/>
  </r>
  <r>
    <s v="Trouw Nutrition México"/>
    <s v="Velazquez Raya Jose Alejandro"/>
    <s v="Trasnacional"/>
    <s v="Grande 251 - En adelante"/>
    <s v="Privado"/>
    <x v="10"/>
    <s v="Nuevo León"/>
    <s v="Monterrey"/>
  </r>
  <r>
    <s v="TU OPCION INTELIGENTE"/>
    <s v="Franco Tovar Jose Ricardo "/>
    <s v="Nacional"/>
    <s v="Pequeña 11 - 50"/>
    <s v="Privado"/>
    <x v="2"/>
    <s v="Nuevo León"/>
    <s v="Monterrey"/>
  </r>
  <r>
    <s v="Tecnocamaras, S.A. de C.V."/>
    <s v="Rodriguez Flores Adriana"/>
    <s v="Nacional"/>
    <s v="Pequeña 11 - 50"/>
    <s v="Privado"/>
    <x v="1"/>
    <s v="Nuevo León"/>
    <s v="Monterrey"/>
  </r>
  <r>
    <s v="TALENTO LOGISTICO- TEACHNNOVA"/>
    <s v="Castillo Rodolfo "/>
    <s v="Nacional"/>
    <s v="Grande 251 - En adelante"/>
    <s v="Privado"/>
    <x v="32"/>
    <s v="Nuevo León"/>
    <s v="Apodaca"/>
  </r>
  <r>
    <s v="TALISIS"/>
    <s v="Sauceda Segovia Hector"/>
    <s v="Nacional"/>
    <s v="Grande 251 - En adelante"/>
    <s v="Educativo"/>
    <x v="32"/>
    <s v="Nuevo León"/>
    <s v="Monterrey"/>
  </r>
  <r>
    <s v="Techgen"/>
    <s v="Fimenez de la Cruz Edgar "/>
    <s v="Multinacional-Internacional"/>
    <s v="Mediana 51 -250"/>
    <s v="Privado"/>
    <x v="3"/>
    <s v="Nuevo León"/>
    <s v="San Nicolas de los Garza"/>
  </r>
  <r>
    <s v="TEKNIPLEX"/>
    <s v="Cortinez Rodriguez Felipe de Jesus "/>
    <s v="Trasnacional"/>
    <s v="Grande 251 - En adelante"/>
    <s v="Privado"/>
    <x v="3"/>
    <s v="Nuevo León"/>
    <s v="Apodaca"/>
  </r>
  <r>
    <s v="TEREX GENIE"/>
    <s v="Saucedo Estrada Ivonne Elizabeth "/>
    <s v="Multinacional-Internacional"/>
    <s v="Grande 251 - En adelante"/>
    <s v="Privado"/>
    <x v="27"/>
    <s v="Nuevo León"/>
    <s v="Cienega de Flores"/>
  </r>
  <r>
    <s v="TOYOTA"/>
    <s v="Carranza Norely "/>
    <s v="Trasnacional"/>
    <s v="Grande 251 - En adelante"/>
    <s v="Privado"/>
    <x v="21"/>
    <s v="Nuevo León"/>
    <s v="Monterrey"/>
  </r>
  <r>
    <s v="TRAUST"/>
    <s v="Villarreal Olvera Rocio Aracely "/>
    <s v="Nacional"/>
    <s v="Mediana 51 -250"/>
    <s v="Privado"/>
    <x v="12"/>
    <s v="Nuevo León"/>
    <s v="San Pedro Garza Garcia"/>
  </r>
  <r>
    <s v="TRUMPF MEXICO"/>
    <s v="Rivera Mena Damian"/>
    <s v="Multinacional-Internacional"/>
    <s v="Mediana 51 -250"/>
    <s v="Privado"/>
    <x v="27"/>
    <s v="Nuevo León"/>
    <s v="Apodaca"/>
  </r>
  <r>
    <s v="Technochairs"/>
    <s v="Rodriguez Torres Rosalinda"/>
    <s v="Nacional"/>
    <s v="Mediana 51 -250"/>
    <s v="Privado"/>
    <x v="37"/>
    <s v="Nuevo León"/>
    <s v="Monterrey"/>
  </r>
  <r>
    <s v="TEMPEL"/>
    <s v="n/a"/>
    <s v="Trasnacional"/>
    <s v="Grande 251 - En adelante"/>
    <s v="Privado"/>
    <x v="0"/>
    <s v="Nuevo León"/>
    <s v="Apodaca"/>
  </r>
  <r>
    <s v="Therica"/>
    <s v="Sanchez Zapata Ricardo Alejandro"/>
    <s v="Nacional"/>
    <s v="Pequeña 11 - 50"/>
    <s v="Privado"/>
    <x v="24"/>
    <s v="Nuevo León"/>
    <s v="Monterrey"/>
  </r>
  <r>
    <s v="TALLERES BARRERA"/>
    <s v="Estrada Luna Samuel"/>
    <s v="Local"/>
    <s v="Pequeña 11 - 50"/>
    <s v="Privado"/>
    <x v="3"/>
    <s v="Nuevo León"/>
    <s v="Monterrey"/>
  </r>
  <r>
    <s v="TECMA"/>
    <s v="n/a"/>
    <s v="Trasnacional"/>
    <s v="Grande 251 - En adelante"/>
    <s v="Privado"/>
    <x v="23"/>
    <s v="Nuevo León"/>
    <s v="Monterrey"/>
  </r>
  <r>
    <s v="TELINET SA DE CV-Zentius Digital Transformation"/>
    <s v="Garza Zamora Carlos Clementa"/>
    <s v="Nacional"/>
    <s v="Mediana 51 -250"/>
    <s v="Privado"/>
    <x v="19"/>
    <s v="Nuevo León"/>
    <s v="Monterrey"/>
  </r>
  <r>
    <s v="TERNIUM MEXICO SA DE CV"/>
    <s v="Saucedo Monreal Ladislao"/>
    <s v="Multinacional-Internacional"/>
    <s v="Grande 251 - En adelante"/>
    <s v="Privado"/>
    <x v="0"/>
    <s v="Nuevo León"/>
    <s v="Monterrey"/>
  </r>
  <r>
    <s v="TRANSPORTES MONTERREY-Trayecto"/>
    <s v="Oliva Castillo Guadalupe"/>
    <s v="Nacional"/>
    <s v="Grande 251 - En adelante"/>
    <s v="Privado"/>
    <x v="31"/>
    <s v="Nuevo León"/>
    <s v="Monterrey"/>
  </r>
  <r>
    <s v=" UKY-Embarques y Subministros SA y CV"/>
    <s v="Cardona Moreno Mayra Guadalupe"/>
    <s v="Nacional"/>
    <s v="Pequeña 11 - 50"/>
    <s v="Privado"/>
    <x v="21"/>
    <s v="Nuevo León"/>
    <s v="General Escobedo"/>
  </r>
  <r>
    <s v="ULINE INES"/>
    <s v="Layta Muñiz"/>
    <s v="Multinacional-Internacional"/>
    <s v="Grande 251 - En adelante"/>
    <s v="Privado"/>
    <x v="22"/>
    <s v="Nuevo León"/>
    <s v="Monterrey"/>
  </r>
  <r>
    <s v="VIRTUS METRO-emblem capital"/>
    <s v="Saavedra Torres Yahaira Edith"/>
    <s v="Nacional"/>
    <s v="Mediana 51 -250"/>
    <s v="Privado"/>
    <x v="20"/>
    <s v="Nuevo León"/>
    <s v="Monterrey"/>
  </r>
  <r>
    <s v="VITRO"/>
    <s v="Polanco Hernandez Pedro Francisco "/>
    <s v="Multinacional-Internacional"/>
    <s v="Grande 251 - En adelante"/>
    <s v="Privado"/>
    <x v="23"/>
    <s v="Nuevo León"/>
    <s v="Monterrey"/>
  </r>
  <r>
    <s v="Valladares Contadores"/>
    <s v="Valladares Ponce Jesus Eliud"/>
    <s v="Nacional"/>
    <s v="Micro 1 - 10"/>
    <s v="Privado"/>
    <x v="12"/>
    <s v="Nuevo León"/>
    <s v="Monterrey"/>
  </r>
  <r>
    <s v="VARGAS VALDES &amp; ASOCIADOS"/>
    <s v="Contreras Estrada Alan Salvador"/>
    <s v="Nacional"/>
    <s v="Pequeña 11 - 50"/>
    <s v="Privado"/>
    <x v="12"/>
    <s v="Nuevo León"/>
    <s v="San Pedro Garza Garcia"/>
  </r>
  <r>
    <s v="VIAKABLE"/>
    <s v="Muñiz Breton Kevin Alberto "/>
    <s v="Nacional"/>
    <s v="Grande 251 - En adelante"/>
    <s v="Privado"/>
    <x v="3"/>
    <s v="Nuevo León"/>
    <s v="San Nicolas de los Garza"/>
  </r>
  <r>
    <s v="VIDUSA"/>
    <s v="Echavarria Lopez Emmanuel "/>
    <s v="Nacional"/>
    <s v="Grande 251 - En adelante"/>
    <s v="Privado"/>
    <x v="3"/>
    <s v="Nuevo León"/>
    <s v="Monterrey"/>
  </r>
  <r>
    <s v="VILLEGAS DE LEON Y ASOCIADOS SC"/>
    <s v="Padilla Reyes Hugo Enrique "/>
    <s v="Nacional"/>
    <s v="Pequeña 11 - 50"/>
    <s v="Privado"/>
    <x v="12"/>
    <s v="Nuevo León"/>
    <s v="Monterrey"/>
  </r>
  <r>
    <s v="VINNARE"/>
    <s v="Esparza Vazquez Esther del Rocio"/>
    <s v="Nacional"/>
    <s v="Pequeña 11 - 50"/>
    <s v="Privado"/>
    <x v="7"/>
    <s v="Nuevo León"/>
    <s v="Monterrey"/>
  </r>
  <r>
    <s v="VIAKABLE"/>
    <s v="Muñiz Breton Kevin Alberto "/>
    <s v="Nacional"/>
    <s v="Grande 251 - En adelante"/>
    <s v="Privado"/>
    <x v="3"/>
    <s v="Nuevo León"/>
    <s v="San Nicolas de los Garza"/>
  </r>
  <r>
    <s v="VICE ENTERPRISE SOLUTIONS"/>
    <s v="Manzanares Agular Cynthia Alejandra"/>
    <s v="Multinacional-Internacional"/>
    <s v="Mediana 51 -250"/>
    <s v="Privado"/>
    <x v="6"/>
    <s v="Nuevo León"/>
    <s v="Monterrey"/>
  </r>
  <r>
    <s v="VICE "/>
    <s v="Manzanares Agular Cynthia Alejandra"/>
    <s v="Multinacional-Internacional"/>
    <s v="Grande 251 - En adelante"/>
    <s v="Privado"/>
    <x v="1"/>
    <s v="Nuevo León"/>
    <s v="Monterrey"/>
  </r>
  <r>
    <s v="Vikingos Eventos"/>
    <s v="n/a"/>
    <s v="Local"/>
    <s v="Pequeña 11 - 50"/>
    <s v="Privado"/>
    <x v="4"/>
    <s v="Nuevo León"/>
    <s v="Monterrey"/>
  </r>
  <r>
    <s v="Vitau medical"/>
    <s v="Garcia Zorola Jesus Jorge"/>
    <s v="Nacional"/>
    <s v="Pequeña 11 - 50"/>
    <s v="Privado"/>
    <x v="24"/>
    <s v="Nuevo León"/>
    <s v="Monterrey"/>
  </r>
  <r>
    <s v="VESUVIUS"/>
    <s v="Garza Espinoza Cesar Homero"/>
    <s v="Trasnacional"/>
    <s v="Grande 251 - En adelante"/>
    <s v="Privado"/>
    <x v="3"/>
    <s v="Nuevo León"/>
    <s v="Apodaca"/>
  </r>
  <r>
    <s v="VILLALON ALONSO CONTADORES PUBLICOS SC"/>
    <s v="Villalon Alonso Victor"/>
    <s v="Local"/>
    <s v="Micro 1 - 10"/>
    <s v="Privado"/>
    <x v="12"/>
    <s v="Nuevo León"/>
    <s v="Monterrey"/>
  </r>
  <r>
    <s v="WESTERN TRUCK SERVICE"/>
    <s v="Andrade Hernandez Renee"/>
    <s v="Nacional"/>
    <s v="Pequeña 11 - 50"/>
    <s v="Privado"/>
    <x v="41"/>
    <s v="Nuevo León"/>
    <s v="Monterrey"/>
  </r>
  <r>
    <s v="Wood-Mizer México"/>
    <s v="Rodríguez Morfin Luis Carlos"/>
    <s v="Trasnacional"/>
    <s v="Mediana 51 -250"/>
    <s v="Privado"/>
    <x v="3"/>
    <s v="Nuevo León"/>
    <s v="Monterrey"/>
  </r>
  <r>
    <s v="Whirpool Mexico"/>
    <s v="Rivera Chantal"/>
    <s v="Multinacional-Internacional"/>
    <s v="Grande 251 - En adelante"/>
    <s v="Privado"/>
    <x v="21"/>
    <s v="Nuevo León"/>
    <s v="Apodaca"/>
  </r>
  <r>
    <s v="WM LATINOAMERICA S DE RL DE CV"/>
    <s v="Rodriguez Morfin Luis Carlos"/>
    <s v="Multinacional-Internacional"/>
    <s v="Grande 251 - En adelante"/>
    <s v="Privado"/>
    <x v="40"/>
    <s v="Nuevo León"/>
    <s v="Monterrey"/>
  </r>
  <r>
    <s v="Xignux"/>
    <s v="Morales Davila Andres Azael "/>
    <s v="Trasnacional"/>
    <s v="Grande 251 - En adelante"/>
    <s v="Privado"/>
    <x v="23"/>
    <s v="Nuevo León"/>
    <s v="San Pedro Garza Garcia"/>
  </r>
  <r>
    <s v="XK Media"/>
    <s v="Ochoa Rodriguez Karla Ivonne"/>
    <s v="Nacional"/>
    <s v="Pequeña 11 - 50"/>
    <s v="Privado"/>
    <x v="42"/>
    <s v="Nuevo León"/>
    <s v="Monterrey"/>
  </r>
  <r>
    <s v="XPERTAL"/>
    <s v="Ramos Rocha Brenda Leceli"/>
    <s v="Nacional"/>
    <s v="Grande 251 - En adelante"/>
    <s v="Privado"/>
    <x v="43"/>
    <s v="Nuevo León"/>
    <s v="Monterrey"/>
  </r>
  <r>
    <s v="XCF S.A. DE C.V."/>
    <s v="Veloz Morales Jorge Alberto"/>
    <s v="Nacional"/>
    <s v="Grande 251 - En adelante"/>
    <s v="Privado"/>
    <x v="31"/>
    <s v="Nuevo León"/>
    <s v="Monterrey"/>
  </r>
  <r>
    <s v="YELOS"/>
    <s v="Cura Reyna Juan Enrique"/>
    <s v="Nacional"/>
    <s v="Pequeña 11 - 50"/>
    <s v="Privado"/>
    <x v="6"/>
    <s v="Nuevo León"/>
    <s v="Monterrey"/>
  </r>
  <r>
    <s v="YTURRIA"/>
    <s v="Cavazoz Cosio Adalberto"/>
    <s v="Nacional"/>
    <s v="Mediana 51 -250"/>
    <s v="Privado"/>
    <x v="3"/>
    <s v="Nuevo León"/>
    <s v="Monterrey"/>
  </r>
  <r>
    <s v="Zemgo HOPE"/>
    <s v="Lopez Gonzalez Jose Abelardo"/>
    <s v="Nacional"/>
    <s v="Pequeña 11 - 50"/>
    <s v="Privado"/>
    <x v="43"/>
    <s v="Nuevo León"/>
    <s v="Monterre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01000000}" name="TablaDinámica1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Tamaño">
  <location ref="B34:C40" firstHeaderRow="1" firstDataRow="1" firstDataCol="1"/>
  <pivotFields count="2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e Empresa" fld="0" subtotal="count" baseField="0" baseItem="0"/>
  </dataFields>
  <formats count="14">
    <format dxfId="897">
      <pivotArea type="all" dataOnly="0" outline="0" fieldPosition="0"/>
    </format>
    <format dxfId="896">
      <pivotArea outline="0" collapsedLevelsAreSubtotals="1" fieldPosition="0"/>
    </format>
    <format dxfId="895">
      <pivotArea field="1" type="button" dataOnly="0" labelOnly="1" outline="0" axis="axisRow" fieldPosition="0"/>
    </format>
    <format dxfId="894">
      <pivotArea dataOnly="0" labelOnly="1" outline="0" axis="axisValues" fieldPosition="0"/>
    </format>
    <format dxfId="893">
      <pivotArea dataOnly="0" labelOnly="1" fieldPosition="0">
        <references count="1">
          <reference field="1" count="0"/>
        </references>
      </pivotArea>
    </format>
    <format dxfId="892">
      <pivotArea dataOnly="0" labelOnly="1" grandRow="1" outline="0" fieldPosition="0"/>
    </format>
    <format dxfId="891">
      <pivotArea dataOnly="0" labelOnly="1" outline="0" axis="axisValues" fieldPosition="0"/>
    </format>
    <format dxfId="890">
      <pivotArea type="all" dataOnly="0" outline="0" fieldPosition="0"/>
    </format>
    <format dxfId="889">
      <pivotArea outline="0" collapsedLevelsAreSubtotals="1" fieldPosition="0"/>
    </format>
    <format dxfId="888">
      <pivotArea field="1" type="button" dataOnly="0" labelOnly="1" outline="0" axis="axisRow" fieldPosition="0"/>
    </format>
    <format dxfId="887">
      <pivotArea dataOnly="0" labelOnly="1" outline="0" axis="axisValues" fieldPosition="0"/>
    </format>
    <format dxfId="886">
      <pivotArea dataOnly="0" labelOnly="1" fieldPosition="0">
        <references count="1">
          <reference field="1" count="0"/>
        </references>
      </pivotArea>
    </format>
    <format dxfId="885">
      <pivotArea dataOnly="0" labelOnly="1" grandRow="1" outline="0" fieldPosition="0"/>
    </format>
    <format dxfId="88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EMPRESAS FIRMAS AUTORIZADAS.xlsx!Tabla13">
        <x15:activeTabTopLevelEntity name="[Tabla1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00000000}" name="TablaDinámica11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Tipo de empresa según ambito">
  <location ref="B7:C13" firstHeaderRow="1" firstDataRow="1" firstDataCol="1"/>
  <pivotFields count="2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e Empresa" fld="0" subtotal="count" baseField="0" baseItem="0"/>
  </dataFields>
  <formats count="28">
    <format dxfId="925">
      <pivotArea type="all" dataOnly="0" outline="0" fieldPosition="0"/>
    </format>
    <format dxfId="924">
      <pivotArea outline="0" collapsedLevelsAreSubtotals="1" fieldPosition="0"/>
    </format>
    <format dxfId="923">
      <pivotArea field="1" type="button" dataOnly="0" labelOnly="1" outline="0" axis="axisRow" fieldPosition="0"/>
    </format>
    <format dxfId="922">
      <pivotArea dataOnly="0" labelOnly="1" outline="0" axis="axisValues" fieldPosition="0"/>
    </format>
    <format dxfId="921">
      <pivotArea dataOnly="0" labelOnly="1" fieldPosition="0">
        <references count="1">
          <reference field="1" count="0"/>
        </references>
      </pivotArea>
    </format>
    <format dxfId="920">
      <pivotArea dataOnly="0" labelOnly="1" grandRow="1" outline="0" fieldPosition="0"/>
    </format>
    <format dxfId="919">
      <pivotArea dataOnly="0" labelOnly="1" outline="0" axis="axisValues" fieldPosition="0"/>
    </format>
    <format dxfId="918">
      <pivotArea type="all" dataOnly="0" outline="0" fieldPosition="0"/>
    </format>
    <format dxfId="917">
      <pivotArea outline="0" collapsedLevelsAreSubtotals="1" fieldPosition="0"/>
    </format>
    <format dxfId="916">
      <pivotArea field="1" type="button" dataOnly="0" labelOnly="1" outline="0" axis="axisRow" fieldPosition="0"/>
    </format>
    <format dxfId="915">
      <pivotArea dataOnly="0" labelOnly="1" outline="0" axis="axisValues" fieldPosition="0"/>
    </format>
    <format dxfId="914">
      <pivotArea dataOnly="0" labelOnly="1" fieldPosition="0">
        <references count="1">
          <reference field="1" count="0"/>
        </references>
      </pivotArea>
    </format>
    <format dxfId="913">
      <pivotArea dataOnly="0" labelOnly="1" grandRow="1" outline="0" fieldPosition="0"/>
    </format>
    <format dxfId="912">
      <pivotArea dataOnly="0" labelOnly="1" outline="0" axis="axisValues" fieldPosition="0"/>
    </format>
    <format dxfId="911">
      <pivotArea type="all" dataOnly="0" outline="0" fieldPosition="0"/>
    </format>
    <format dxfId="910">
      <pivotArea outline="0" collapsedLevelsAreSubtotals="1" fieldPosition="0"/>
    </format>
    <format dxfId="909">
      <pivotArea field="1" type="button" dataOnly="0" labelOnly="1" outline="0" axis="axisRow" fieldPosition="0"/>
    </format>
    <format dxfId="908">
      <pivotArea dataOnly="0" labelOnly="1" outline="0" axis="axisValues" fieldPosition="0"/>
    </format>
    <format dxfId="907">
      <pivotArea dataOnly="0" labelOnly="1" fieldPosition="0">
        <references count="1">
          <reference field="1" count="0"/>
        </references>
      </pivotArea>
    </format>
    <format dxfId="906">
      <pivotArea dataOnly="0" labelOnly="1" grandRow="1" outline="0" fieldPosition="0"/>
    </format>
    <format dxfId="905">
      <pivotArea dataOnly="0" labelOnly="1" outline="0" axis="axisValues" fieldPosition="0"/>
    </format>
    <format dxfId="904">
      <pivotArea type="all" dataOnly="0" outline="0" fieldPosition="0"/>
    </format>
    <format dxfId="903">
      <pivotArea outline="0" collapsedLevelsAreSubtotals="1" fieldPosition="0"/>
    </format>
    <format dxfId="902">
      <pivotArea field="1" type="button" dataOnly="0" labelOnly="1" outline="0" axis="axisRow" fieldPosition="0"/>
    </format>
    <format dxfId="901">
      <pivotArea dataOnly="0" labelOnly="1" outline="0" axis="axisValues" fieldPosition="0"/>
    </format>
    <format dxfId="900">
      <pivotArea dataOnly="0" labelOnly="1" fieldPosition="0">
        <references count="1">
          <reference field="1" count="0"/>
        </references>
      </pivotArea>
    </format>
    <format dxfId="899">
      <pivotArea dataOnly="0" labelOnly="1" grandRow="1" outline="0" fieldPosition="0"/>
    </format>
    <format dxfId="89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EMPRESAS FIRMAS AUTORIZADAS.xlsx!Tabla13">
        <x15:activeTabTopLevelEntity name="[Tabla1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05000000}" name="TablaDinámica8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Municipio">
  <location ref="B121:C140" firstHeaderRow="1" firstDataRow="1" firstDataCol="1"/>
  <pivotFields count="2">
    <pivotField dataField="1" showAll="0"/>
    <pivotField axis="axisRow" allDrilled="1" showAll="0" dataSourceSort="1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Recuento de Empresa" fld="0" subtotal="count" baseField="0" baseItem="0"/>
  </dataFields>
  <formats count="14">
    <format dxfId="939">
      <pivotArea type="all" dataOnly="0" outline="0" fieldPosition="0"/>
    </format>
    <format dxfId="938">
      <pivotArea outline="0" collapsedLevelsAreSubtotals="1" fieldPosition="0"/>
    </format>
    <format dxfId="937">
      <pivotArea field="1" type="button" dataOnly="0" labelOnly="1" outline="0" axis="axisRow" fieldPosition="0"/>
    </format>
    <format dxfId="936">
      <pivotArea dataOnly="0" labelOnly="1" outline="0" axis="axisValues" fieldPosition="0"/>
    </format>
    <format dxfId="935">
      <pivotArea dataOnly="0" labelOnly="1" fieldPosition="0">
        <references count="1">
          <reference field="1" count="0"/>
        </references>
      </pivotArea>
    </format>
    <format dxfId="934">
      <pivotArea dataOnly="0" labelOnly="1" grandRow="1" outline="0" fieldPosition="0"/>
    </format>
    <format dxfId="933">
      <pivotArea dataOnly="0" labelOnly="1" outline="0" axis="axisValues" fieldPosition="0"/>
    </format>
    <format dxfId="932">
      <pivotArea type="all" dataOnly="0" outline="0" fieldPosition="0"/>
    </format>
    <format dxfId="931">
      <pivotArea outline="0" collapsedLevelsAreSubtotals="1" fieldPosition="0"/>
    </format>
    <format dxfId="930">
      <pivotArea field="1" type="button" dataOnly="0" labelOnly="1" outline="0" axis="axisRow" fieldPosition="0"/>
    </format>
    <format dxfId="929">
      <pivotArea dataOnly="0" labelOnly="1" outline="0" axis="axisValues" fieldPosition="0"/>
    </format>
    <format dxfId="928">
      <pivotArea dataOnly="0" labelOnly="1" fieldPosition="0">
        <references count="1">
          <reference field="1" count="0"/>
        </references>
      </pivotArea>
    </format>
    <format dxfId="927">
      <pivotArea dataOnly="0" labelOnly="1" grandRow="1" outline="0" fieldPosition="0"/>
    </format>
    <format dxfId="92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EMPRESAS FIRMAS AUTORIZADAS.xlsx!Tabla13">
        <x15:activeTabTopLevelEntity name="[Tabla1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04000000}" name="TablaDinámica4" cacheId="3" applyNumberFormats="0" applyBorderFormats="0" applyFontFormats="0" applyPatternFormats="0" applyAlignmentFormats="0" applyWidthHeightFormats="1" dataCaption="Valores" updatedVersion="6" minRefreshableVersion="3" useAutoFormatting="1" subtotalHiddenItems="1" itemPrintTitles="1" createdVersion="6" indent="0" outline="1" outlineData="1" multipleFieldFilters="0" chartFormat="1" rowHeaderCaption="Sector">
  <location ref="B67:C73" firstHeaderRow="1" firstDataRow="1" firstDataCol="1"/>
  <pivotFields count="2">
    <pivotField dataField="1" showAl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Recuento de Empresas" fld="0" subtotal="count" baseField="1" baseItem="0"/>
  </dataFields>
  <formats count="14">
    <format dxfId="953">
      <pivotArea type="all" dataOnly="0" outline="0" fieldPosition="0"/>
    </format>
    <format dxfId="952">
      <pivotArea outline="0" collapsedLevelsAreSubtotals="1" fieldPosition="0"/>
    </format>
    <format dxfId="951">
      <pivotArea field="1" type="button" dataOnly="0" labelOnly="1" outline="0" axis="axisRow" fieldPosition="0"/>
    </format>
    <format dxfId="950">
      <pivotArea dataOnly="0" labelOnly="1" outline="0" axis="axisValues" fieldPosition="0"/>
    </format>
    <format dxfId="949">
      <pivotArea dataOnly="0" labelOnly="1" fieldPosition="0">
        <references count="1">
          <reference field="1" count="0"/>
        </references>
      </pivotArea>
    </format>
    <format dxfId="948">
      <pivotArea dataOnly="0" labelOnly="1" grandRow="1" outline="0" fieldPosition="0"/>
    </format>
    <format dxfId="947">
      <pivotArea dataOnly="0" labelOnly="1" outline="0" axis="axisValues" fieldPosition="0"/>
    </format>
    <format dxfId="946">
      <pivotArea type="all" dataOnly="0" outline="0" fieldPosition="0"/>
    </format>
    <format dxfId="945">
      <pivotArea outline="0" collapsedLevelsAreSubtotals="1" fieldPosition="0"/>
    </format>
    <format dxfId="944">
      <pivotArea field="1" type="button" dataOnly="0" labelOnly="1" outline="0" axis="axisRow" fieldPosition="0"/>
    </format>
    <format dxfId="943">
      <pivotArea dataOnly="0" labelOnly="1" outline="0" axis="axisValues" fieldPosition="0"/>
    </format>
    <format dxfId="942">
      <pivotArea dataOnly="0" labelOnly="1" fieldPosition="0">
        <references count="1">
          <reference field="1" count="0"/>
        </references>
      </pivotArea>
    </format>
    <format dxfId="941">
      <pivotArea dataOnly="0" labelOnly="1" grandRow="1" outline="0" fieldPosition="0"/>
    </format>
    <format dxfId="94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cuento de Empresa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EMPRESAS FIRMAS AUTORIZADAS.xlsx!Tabla1">
        <x15:activeTabTopLevelEntity name="[Tabla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03000000}" name="TablaDinámica2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Servicio">
  <location ref="R50:S95" firstHeaderRow="1" firstDataRow="1" firstDataCol="1"/>
  <pivotFields count="8">
    <pivotField dataField="1" showAll="0"/>
    <pivotField showAll="0"/>
    <pivotField showAll="0"/>
    <pivotField showAll="0"/>
    <pivotField showAll="0"/>
    <pivotField axis="axisRow" showAll="0">
      <items count="45">
        <item x="0"/>
        <item x="29"/>
        <item x="10"/>
        <item x="2"/>
        <item x="13"/>
        <item x="32"/>
        <item x="21"/>
        <item x="8"/>
        <item x="6"/>
        <item x="38"/>
        <item x="40"/>
        <item x="11"/>
        <item x="7"/>
        <item x="34"/>
        <item x="20"/>
        <item x="26"/>
        <item x="35"/>
        <item x="3"/>
        <item x="15"/>
        <item x="18"/>
        <item x="25"/>
        <item x="39"/>
        <item x="4"/>
        <item x="17"/>
        <item x="41"/>
        <item x="23"/>
        <item x="42"/>
        <item x="24"/>
        <item x="27"/>
        <item x="37"/>
        <item x="9"/>
        <item x="30"/>
        <item x="5"/>
        <item x="28"/>
        <item x="16"/>
        <item x="12"/>
        <item x="19"/>
        <item x="43"/>
        <item x="14"/>
        <item x="1"/>
        <item x="31"/>
        <item x="22"/>
        <item x="36"/>
        <item x="33"/>
        <item t="default"/>
      </items>
    </pivotField>
    <pivotField showAll="0"/>
    <pivotField showAll="0"/>
  </pivotFields>
  <rowFields count="1">
    <field x="5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Items count="1">
    <i/>
  </colItems>
  <dataFields count="1">
    <dataField name="Cuenta de Empresa" fld="0" subtotal="count" baseField="0" baseItem="0"/>
  </dataFields>
  <formats count="14">
    <format dxfId="967">
      <pivotArea type="all" dataOnly="0" outline="0" fieldPosition="0"/>
    </format>
    <format dxfId="966">
      <pivotArea outline="0" collapsedLevelsAreSubtotals="1" fieldPosition="0"/>
    </format>
    <format dxfId="965">
      <pivotArea field="5" type="button" dataOnly="0" labelOnly="1" outline="0" axis="axisRow" fieldPosition="0"/>
    </format>
    <format dxfId="964">
      <pivotArea dataOnly="0" labelOnly="1" outline="0" axis="axisValues" fieldPosition="0"/>
    </format>
    <format dxfId="963">
      <pivotArea dataOnly="0" labelOnly="1" fieldPosition="0">
        <references count="1">
          <reference field="5" count="0"/>
        </references>
      </pivotArea>
    </format>
    <format dxfId="962">
      <pivotArea dataOnly="0" labelOnly="1" grandRow="1" outline="0" fieldPosition="0"/>
    </format>
    <format dxfId="961">
      <pivotArea dataOnly="0" labelOnly="1" outline="0" axis="axisValues" fieldPosition="0"/>
    </format>
    <format dxfId="960">
      <pivotArea type="all" dataOnly="0" outline="0" fieldPosition="0"/>
    </format>
    <format dxfId="959">
      <pivotArea outline="0" collapsedLevelsAreSubtotals="1" fieldPosition="0"/>
    </format>
    <format dxfId="958">
      <pivotArea field="5" type="button" dataOnly="0" labelOnly="1" outline="0" axis="axisRow" fieldPosition="0"/>
    </format>
    <format dxfId="957">
      <pivotArea dataOnly="0" labelOnly="1" outline="0" axis="axisValues" fieldPosition="0"/>
    </format>
    <format dxfId="956">
      <pivotArea dataOnly="0" labelOnly="1" fieldPosition="0">
        <references count="1">
          <reference field="5" count="0"/>
        </references>
      </pivotArea>
    </format>
    <format dxfId="955">
      <pivotArea dataOnly="0" labelOnly="1" grandRow="1" outline="0" fieldPosition="0"/>
    </format>
    <format dxfId="95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C00-000002000000}" name="TablaDinámica13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B94:C99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Empresa" fld="1" subtotal="count" baseField="0" baseItem="0"/>
  </dataFields>
  <formats count="14">
    <format dxfId="981">
      <pivotArea type="all" dataOnly="0" outline="0" fieldPosition="0"/>
    </format>
    <format dxfId="980">
      <pivotArea outline="0" collapsedLevelsAreSubtotals="1" fieldPosition="0"/>
    </format>
    <format dxfId="979">
      <pivotArea field="0" type="button" dataOnly="0" labelOnly="1" outline="0" axis="axisRow" fieldPosition="0"/>
    </format>
    <format dxfId="978">
      <pivotArea dataOnly="0" labelOnly="1" outline="0" axis="axisValues" fieldPosition="0"/>
    </format>
    <format dxfId="977">
      <pivotArea dataOnly="0" labelOnly="1" fieldPosition="0">
        <references count="1">
          <reference field="0" count="0"/>
        </references>
      </pivotArea>
    </format>
    <format dxfId="976">
      <pivotArea dataOnly="0" labelOnly="1" grandRow="1" outline="0" fieldPosition="0"/>
    </format>
    <format dxfId="975">
      <pivotArea dataOnly="0" labelOnly="1" outline="0" axis="axisValues" fieldPosition="0"/>
    </format>
    <format dxfId="974">
      <pivotArea type="all" dataOnly="0" outline="0" fieldPosition="0"/>
    </format>
    <format dxfId="973">
      <pivotArea outline="0" collapsedLevelsAreSubtotals="1" fieldPosition="0"/>
    </format>
    <format dxfId="972">
      <pivotArea field="0" type="button" dataOnly="0" labelOnly="1" outline="0" axis="axisRow" fieldPosition="0"/>
    </format>
    <format dxfId="971">
      <pivotArea dataOnly="0" labelOnly="1" outline="0" axis="axisValues" fieldPosition="0"/>
    </format>
    <format dxfId="970">
      <pivotArea dataOnly="0" labelOnly="1" fieldPosition="0">
        <references count="1">
          <reference field="0" count="0"/>
        </references>
      </pivotArea>
    </format>
    <format dxfId="969">
      <pivotArea dataOnly="0" labelOnly="1" grandRow="1" outline="0" fieldPosition="0"/>
    </format>
    <format dxfId="968">
      <pivotArea dataOnly="0" labelOnly="1" outline="0" axis="axisValues" fieldPosition="0"/>
    </format>
  </format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D EMPRESAS FIRMAS AUTORIZADAS.xlsx!Tabla13">
        <x15:activeTabTopLevelEntity name="[Tabla13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13" displayName="Tabla13" ref="C1:J428" totalsRowShown="0" headerRowDxfId="1971" headerRowBorderDxfId="1970" tableBorderDxfId="1969" headerRowCellStyle="Entrada">
  <autoFilter ref="C1:J428" xr:uid="{00000000-0009-0000-0100-000002000000}"/>
  <tableColumns count="8">
    <tableColumn id="1" xr3:uid="{00000000-0010-0000-0000-000001000000}" name="Empresa" dataDxfId="1968"/>
    <tableColumn id="2" xr3:uid="{00000000-0010-0000-0000-000002000000}" name="Nombre completo de quien firma (Iniciando por apellidos, nombre)" dataDxfId="1967"/>
    <tableColumn id="3" xr3:uid="{00000000-0010-0000-0000-000003000000}" name="Tipo de empresa según ambito" dataDxfId="1966"/>
    <tableColumn id="4" xr3:uid="{00000000-0010-0000-0000-000004000000}" name="Tamaño" dataDxfId="1965"/>
    <tableColumn id="5" xr3:uid="{00000000-0010-0000-0000-000005000000}" name="Sector" dataDxfId="1964"/>
    <tableColumn id="6" xr3:uid="{00000000-0010-0000-0000-000006000000}" name="Servicio" dataDxfId="1963"/>
    <tableColumn id="7" xr3:uid="{00000000-0010-0000-0000-000007000000}" name="Estado" dataDxfId="1962"/>
    <tableColumn id="8" xr3:uid="{00000000-0010-0000-0000-000008000000}" name="Municipio" dataDxfId="19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4" displayName="Tabla4" ref="A1:AI52" totalsRowCount="1" headerRowDxfId="1960" headerRowCellStyle="Bueno">
  <autoFilter ref="A1:AI51" xr:uid="{00000000-0009-0000-0100-000004000000}"/>
  <tableColumns count="35">
    <tableColumn id="1" xr3:uid="{00000000-0010-0000-0100-000001000000}" name="Folio" totalsRowLabel="Total" dataDxfId="1959" totalsRowDxfId="883"/>
    <tableColumn id="2" xr3:uid="{00000000-0010-0000-0100-000002000000}" name="RFC" dataDxfId="1958" totalsRowDxfId="882"/>
    <tableColumn id="3" xr3:uid="{00000000-0010-0000-0100-000003000000}" name="Fecha" dataDxfId="1957" totalsRowDxfId="881"/>
    <tableColumn id="4" xr3:uid="{00000000-0010-0000-0100-000004000000}" name="Empresa" dataDxfId="1956" totalsRowDxfId="880"/>
    <tableColumn id="5" xr3:uid="{00000000-0010-0000-0100-000005000000}" name="Nombre completo de quien firma (Iniciando por apellidos, nombre)" dataDxfId="1955" totalsRowDxfId="879"/>
    <tableColumn id="6" xr3:uid="{00000000-0010-0000-0100-000006000000}" name="Tipo de empresa según ambito" dataDxfId="1954" totalsRowDxfId="878"/>
    <tableColumn id="7" xr3:uid="{00000000-0010-0000-0100-000007000000}" name="Tamaño" dataDxfId="1953" totalsRowDxfId="877"/>
    <tableColumn id="8" xr3:uid="{00000000-0010-0000-0100-000008000000}" name="Sector" dataDxfId="1952" totalsRowDxfId="876"/>
    <tableColumn id="9" xr3:uid="{00000000-0010-0000-0100-000009000000}" name="Servicio" dataDxfId="1951" totalsRowDxfId="875"/>
    <tableColumn id="10" xr3:uid="{00000000-0010-0000-0100-00000A000000}" name="Estado" dataDxfId="1950" totalsRowDxfId="874"/>
    <tableColumn id="11" xr3:uid="{00000000-0010-0000-0100-00000B000000}" name="Municipio" dataDxfId="1949" totalsRowDxfId="873"/>
    <tableColumn id="12" xr3:uid="{00000000-0010-0000-0100-00000C000000}" name="Puesto que ocupa en la empresa:" dataDxfId="1948" totalsRowDxfId="872"/>
    <tableColumn id="13" xr3:uid="{00000000-0010-0000-0100-00000D000000}" name="Teléfono de contacto (y extensión)" dataDxfId="1947" totalsRowDxfId="871"/>
    <tableColumn id="14" xr3:uid="{00000000-0010-0000-0100-00000E000000}" name="Correo empresarial" dataDxfId="1946" totalsRowDxfId="870"/>
    <tableColumn id="15" xr3:uid="{00000000-0010-0000-0100-00000F000000}" name="Whatsapp" dataDxfId="1945" totalsRowDxfId="869"/>
    <tableColumn id="16" xr3:uid="{00000000-0010-0000-0100-000010000000}" name="Columna1" dataDxfId="1944" totalsRowDxfId="868"/>
    <tableColumn id="17" xr3:uid="{00000000-0010-0000-0100-000011000000}" name="Nombre completo (Iniciando por apellidos, nombre)" dataDxfId="1943" totalsRowDxfId="867"/>
    <tableColumn id="18" xr3:uid="{00000000-0010-0000-0100-000012000000}" name="Puesto que ocupa en la empresa:2" dataDxfId="1942" totalsRowDxfId="866"/>
    <tableColumn id="19" xr3:uid="{00000000-0010-0000-0100-000013000000}" name="Teléfono de contacto (y extensión)3" dataDxfId="1941" totalsRowDxfId="865"/>
    <tableColumn id="20" xr3:uid="{00000000-0010-0000-0100-000014000000}" name="Correo empresarial4" dataDxfId="1940" totalsRowDxfId="864"/>
    <tableColumn id="21" xr3:uid="{00000000-0010-0000-0100-000015000000}" name="Whatsapp5" dataDxfId="1939" totalsRowDxfId="863"/>
    <tableColumn id="22" xr3:uid="{00000000-0010-0000-0100-000016000000}" name="Columna6" dataDxfId="1938" totalsRowDxfId="862"/>
    <tableColumn id="23" xr3:uid="{00000000-0010-0000-0100-000017000000}" name="Nombre completo (Iniciando por apellidos, nombre)7" dataDxfId="1937" totalsRowDxfId="861"/>
    <tableColumn id="24" xr3:uid="{00000000-0010-0000-0100-000018000000}" name="Puesto que ocupa en la empresa:8" dataDxfId="1936" totalsRowDxfId="860"/>
    <tableColumn id="25" xr3:uid="{00000000-0010-0000-0100-000019000000}" name="Teléfono de contacto (y extensión)9" dataDxfId="1935" totalsRowDxfId="859"/>
    <tableColumn id="26" xr3:uid="{00000000-0010-0000-0100-00001A000000}" name="Correo empresarial10" dataDxfId="1934" totalsRowDxfId="858"/>
    <tableColumn id="27" xr3:uid="{00000000-0010-0000-0100-00001B000000}" name="Whatsapp11" dataDxfId="1933" totalsRowDxfId="857"/>
    <tableColumn id="28" xr3:uid="{00000000-0010-0000-0100-00001C000000}" name="Columna12" dataDxfId="1932" totalsRowDxfId="856"/>
    <tableColumn id="29" xr3:uid="{00000000-0010-0000-0100-00001D000000}" name="Nombre completo (Iniciando por apellidos, nombre)13" dataDxfId="1931" totalsRowDxfId="855"/>
    <tableColumn id="30" xr3:uid="{00000000-0010-0000-0100-00001E000000}" name="Puesto que ocupa en la empresa:14" dataDxfId="1930" totalsRowDxfId="854"/>
    <tableColumn id="31" xr3:uid="{00000000-0010-0000-0100-00001F000000}" name="Teléfono de contacto (y extensión)15" dataDxfId="1929" totalsRowDxfId="853"/>
    <tableColumn id="32" xr3:uid="{00000000-0010-0000-0100-000020000000}" name="Correo empresarial16" dataDxfId="1928" totalsRowDxfId="852"/>
    <tableColumn id="33" xr3:uid="{00000000-0010-0000-0100-000021000000}" name="Whatsapp17" dataDxfId="1927" totalsRowDxfId="851"/>
    <tableColumn id="34" xr3:uid="{00000000-0010-0000-0100-000022000000}" name="Columna18"/>
    <tableColumn id="35" xr3:uid="{00000000-0010-0000-0100-000023000000}" name="ARCHIVO" totalsRowFunction="count" dataDxfId="1926" totalsRowDxfId="85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a5" displayName="Tabla5" ref="A1:AI52" totalsRowCount="1" headerRowDxfId="1925" headerRowCellStyle="Bueno">
  <autoFilter ref="A1:AI51" xr:uid="{00000000-0009-0000-0100-000005000000}"/>
  <tableColumns count="35">
    <tableColumn id="1" xr3:uid="{00000000-0010-0000-0200-000001000000}" name="Folio" totalsRowLabel="Total" dataDxfId="1924" totalsRowDxfId="849"/>
    <tableColumn id="2" xr3:uid="{00000000-0010-0000-0200-000002000000}" name="RFC" dataDxfId="1923" totalsRowDxfId="848"/>
    <tableColumn id="3" xr3:uid="{00000000-0010-0000-0200-000003000000}" name="Fecha" dataDxfId="1922" totalsRowDxfId="847"/>
    <tableColumn id="4" xr3:uid="{00000000-0010-0000-0200-000004000000}" name="Empresa" dataDxfId="1921" totalsRowDxfId="846"/>
    <tableColumn id="5" xr3:uid="{00000000-0010-0000-0200-000005000000}" name="Nombre completo de quien firma (Iniciando por apellidos, nombre)" dataDxfId="1920" totalsRowDxfId="845"/>
    <tableColumn id="6" xr3:uid="{00000000-0010-0000-0200-000006000000}" name="Tipo de empresa según ambito" dataDxfId="1919" totalsRowDxfId="844"/>
    <tableColumn id="7" xr3:uid="{00000000-0010-0000-0200-000007000000}" name="Tamaño" dataDxfId="1918" totalsRowDxfId="843"/>
    <tableColumn id="8" xr3:uid="{00000000-0010-0000-0200-000008000000}" name="Sector" dataDxfId="1917" totalsRowDxfId="842"/>
    <tableColumn id="9" xr3:uid="{00000000-0010-0000-0200-000009000000}" name="Servicio" dataDxfId="1916" totalsRowDxfId="841"/>
    <tableColumn id="10" xr3:uid="{00000000-0010-0000-0200-00000A000000}" name="Estado" dataDxfId="1915" totalsRowDxfId="840"/>
    <tableColumn id="11" xr3:uid="{00000000-0010-0000-0200-00000B000000}" name="Municipio" dataDxfId="1914" totalsRowDxfId="839"/>
    <tableColumn id="12" xr3:uid="{00000000-0010-0000-0200-00000C000000}" name="Puesto que ocupa en la empresa:" dataDxfId="1913" totalsRowDxfId="838"/>
    <tableColumn id="13" xr3:uid="{00000000-0010-0000-0200-00000D000000}" name="Teléfono de contacto (y extensión)" dataDxfId="1912" totalsRowDxfId="837"/>
    <tableColumn id="14" xr3:uid="{00000000-0010-0000-0200-00000E000000}" name="Correo empresarial" dataDxfId="1911" totalsRowDxfId="836"/>
    <tableColumn id="15" xr3:uid="{00000000-0010-0000-0200-00000F000000}" name="Whatsapp" dataDxfId="1910" totalsRowDxfId="835"/>
    <tableColumn id="16" xr3:uid="{00000000-0010-0000-0200-000010000000}" name="Columna1" dataDxfId="1909" totalsRowDxfId="834"/>
    <tableColumn id="17" xr3:uid="{00000000-0010-0000-0200-000011000000}" name="Nombre completo (Iniciando por apellidos, nombre)" dataDxfId="1908" totalsRowDxfId="833"/>
    <tableColumn id="18" xr3:uid="{00000000-0010-0000-0200-000012000000}" name="Puesto que ocupa en la empresa:2" dataDxfId="1907" totalsRowDxfId="832"/>
    <tableColumn id="19" xr3:uid="{00000000-0010-0000-0200-000013000000}" name="Teléfono de contacto (y extensión)3" dataDxfId="1906" totalsRowDxfId="831"/>
    <tableColumn id="20" xr3:uid="{00000000-0010-0000-0200-000014000000}" name="Correo empresarial4" dataDxfId="1905" totalsRowDxfId="830"/>
    <tableColumn id="21" xr3:uid="{00000000-0010-0000-0200-000015000000}" name="Whatsapp5" dataDxfId="1904" totalsRowDxfId="829"/>
    <tableColumn id="22" xr3:uid="{00000000-0010-0000-0200-000016000000}" name="Columna6" dataDxfId="1903" totalsRowDxfId="828"/>
    <tableColumn id="23" xr3:uid="{00000000-0010-0000-0200-000017000000}" name="Nombre completo (Iniciando por apellidos, nombre)7" dataDxfId="1902" totalsRowDxfId="827"/>
    <tableColumn id="24" xr3:uid="{00000000-0010-0000-0200-000018000000}" name="Puesto que ocupa en la empresa:8" dataDxfId="1901" totalsRowDxfId="826"/>
    <tableColumn id="25" xr3:uid="{00000000-0010-0000-0200-000019000000}" name="Teléfono de contacto (y extensión)9" dataDxfId="1900" totalsRowDxfId="825"/>
    <tableColumn id="26" xr3:uid="{00000000-0010-0000-0200-00001A000000}" name="Correo empresarial10" dataDxfId="1899" totalsRowDxfId="824"/>
    <tableColumn id="27" xr3:uid="{00000000-0010-0000-0200-00001B000000}" name="Whatsapp11" dataDxfId="1898" totalsRowDxfId="823"/>
    <tableColumn id="28" xr3:uid="{00000000-0010-0000-0200-00001C000000}" name="Columna12" dataDxfId="1897" totalsRowDxfId="822"/>
    <tableColumn id="29" xr3:uid="{00000000-0010-0000-0200-00001D000000}" name="Nombre completo (Iniciando por apellidos, nombre)13" dataDxfId="1896" totalsRowDxfId="821"/>
    <tableColumn id="30" xr3:uid="{00000000-0010-0000-0200-00001E000000}" name="Puesto que ocupa en la empresa:14" dataDxfId="1895" totalsRowDxfId="820"/>
    <tableColumn id="31" xr3:uid="{00000000-0010-0000-0200-00001F000000}" name="Teléfono de contacto (y extensión)15" dataDxfId="1894" totalsRowDxfId="819"/>
    <tableColumn id="32" xr3:uid="{00000000-0010-0000-0200-000020000000}" name="Correo empresarial16" dataDxfId="1893" totalsRowDxfId="818"/>
    <tableColumn id="33" xr3:uid="{00000000-0010-0000-0200-000021000000}" name="Whatsapp17" dataDxfId="1892" totalsRowDxfId="817"/>
    <tableColumn id="34" xr3:uid="{00000000-0010-0000-0200-000022000000}" name="Columna18"/>
    <tableColumn id="35" xr3:uid="{00000000-0010-0000-0200-000023000000}" name="ARCHIVO" totalsRowFunction="count" dataDxfId="1891" totalsRowDxfId="8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a6" displayName="Tabla6" ref="A1:AI62" totalsRowCount="1" headerRowDxfId="1890" headerRowCellStyle="Bueno">
  <autoFilter ref="A1:AI61" xr:uid="{00000000-0009-0000-0100-000006000000}"/>
  <tableColumns count="35">
    <tableColumn id="1" xr3:uid="{00000000-0010-0000-0300-000001000000}" name="Folio" totalsRowLabel="Total" dataDxfId="1889" totalsRowDxfId="815"/>
    <tableColumn id="2" xr3:uid="{00000000-0010-0000-0300-000002000000}" name="RFC" dataDxfId="1888" totalsRowDxfId="814"/>
    <tableColumn id="3" xr3:uid="{00000000-0010-0000-0300-000003000000}" name="Fecha" dataDxfId="1887" totalsRowDxfId="813"/>
    <tableColumn id="4" xr3:uid="{00000000-0010-0000-0300-000004000000}" name="Empresa" dataDxfId="1886" totalsRowDxfId="812"/>
    <tableColumn id="5" xr3:uid="{00000000-0010-0000-0300-000005000000}" name="Nombre completo de quien firma (Iniciando por apellidos, nombre)" dataDxfId="1885" totalsRowDxfId="811"/>
    <tableColumn id="6" xr3:uid="{00000000-0010-0000-0300-000006000000}" name="Tipo de empresa según ambito" dataDxfId="1884" totalsRowDxfId="810"/>
    <tableColumn id="7" xr3:uid="{00000000-0010-0000-0300-000007000000}" name="Tamaño" dataDxfId="1883" totalsRowDxfId="809"/>
    <tableColumn id="8" xr3:uid="{00000000-0010-0000-0300-000008000000}" name="Sector" dataDxfId="1882" totalsRowDxfId="808"/>
    <tableColumn id="9" xr3:uid="{00000000-0010-0000-0300-000009000000}" name="Servicio" dataDxfId="1881" totalsRowDxfId="807"/>
    <tableColumn id="10" xr3:uid="{00000000-0010-0000-0300-00000A000000}" name="Estado" dataDxfId="1880" totalsRowDxfId="806"/>
    <tableColumn id="11" xr3:uid="{00000000-0010-0000-0300-00000B000000}" name="Municipio" dataDxfId="1879" totalsRowDxfId="805"/>
    <tableColumn id="12" xr3:uid="{00000000-0010-0000-0300-00000C000000}" name="Puesto que ocupa en la empresa:" dataDxfId="1878" totalsRowDxfId="804"/>
    <tableColumn id="13" xr3:uid="{00000000-0010-0000-0300-00000D000000}" name="Teléfono de contacto (y extensión)" dataDxfId="1877" totalsRowDxfId="803"/>
    <tableColumn id="14" xr3:uid="{00000000-0010-0000-0300-00000E000000}" name="Correo empresarial" dataDxfId="1876" totalsRowDxfId="802"/>
    <tableColumn id="15" xr3:uid="{00000000-0010-0000-0300-00000F000000}" name="Whatsapp" dataDxfId="1875" totalsRowDxfId="801"/>
    <tableColumn id="16" xr3:uid="{00000000-0010-0000-0300-000010000000}" name="Columna1" dataDxfId="1874" totalsRowDxfId="800"/>
    <tableColumn id="17" xr3:uid="{00000000-0010-0000-0300-000011000000}" name="Nombre completo (Iniciando por apellidos, nombre)" dataDxfId="1873" totalsRowDxfId="799"/>
    <tableColumn id="18" xr3:uid="{00000000-0010-0000-0300-000012000000}" name="Puesto que ocupa en la empresa:2" dataDxfId="1872" totalsRowDxfId="798"/>
    <tableColumn id="19" xr3:uid="{00000000-0010-0000-0300-000013000000}" name="Teléfono de contacto (y extensión)3" dataDxfId="1871" totalsRowDxfId="797"/>
    <tableColumn id="20" xr3:uid="{00000000-0010-0000-0300-000014000000}" name="Correo empresarial4" dataDxfId="1870" totalsRowDxfId="796"/>
    <tableColumn id="21" xr3:uid="{00000000-0010-0000-0300-000015000000}" name="Whatsapp5" dataDxfId="1869" totalsRowDxfId="795"/>
    <tableColumn id="22" xr3:uid="{00000000-0010-0000-0300-000016000000}" name="Columna6" dataDxfId="1868" totalsRowDxfId="794"/>
    <tableColumn id="23" xr3:uid="{00000000-0010-0000-0300-000017000000}" name="Nombre completo (Iniciando por apellidos, nombre)7" dataDxfId="1867" totalsRowDxfId="793"/>
    <tableColumn id="24" xr3:uid="{00000000-0010-0000-0300-000018000000}" name="Puesto que ocupa en la empresa:8" dataDxfId="1866" totalsRowDxfId="792"/>
    <tableColumn id="25" xr3:uid="{00000000-0010-0000-0300-000019000000}" name="Teléfono de contacto (y extensión)9" dataDxfId="1865" totalsRowDxfId="791"/>
    <tableColumn id="26" xr3:uid="{00000000-0010-0000-0300-00001A000000}" name="Correo empresarial10" dataDxfId="1864" totalsRowDxfId="790"/>
    <tableColumn id="27" xr3:uid="{00000000-0010-0000-0300-00001B000000}" name="Whatsapp11" dataDxfId="1863" totalsRowDxfId="789"/>
    <tableColumn id="28" xr3:uid="{00000000-0010-0000-0300-00001C000000}" name="Columna12" dataDxfId="1862" totalsRowDxfId="788"/>
    <tableColumn id="29" xr3:uid="{00000000-0010-0000-0300-00001D000000}" name="Nombre completo (Iniciando por apellidos, nombre)13" dataDxfId="1861" totalsRowDxfId="787"/>
    <tableColumn id="30" xr3:uid="{00000000-0010-0000-0300-00001E000000}" name="Puesto que ocupa en la empresa:14" dataDxfId="1860" totalsRowDxfId="786"/>
    <tableColumn id="31" xr3:uid="{00000000-0010-0000-0300-00001F000000}" name="Teléfono de contacto (y extensión)15" dataDxfId="1859" totalsRowDxfId="785"/>
    <tableColumn id="32" xr3:uid="{00000000-0010-0000-0300-000020000000}" name="Correo empresarial16" dataDxfId="1858" totalsRowDxfId="784"/>
    <tableColumn id="33" xr3:uid="{00000000-0010-0000-0300-000021000000}" name="Whatsapp17" dataDxfId="1857" totalsRowDxfId="783"/>
    <tableColumn id="34" xr3:uid="{00000000-0010-0000-0300-000022000000}" name="Columna18"/>
    <tableColumn id="35" xr3:uid="{00000000-0010-0000-0300-000023000000}" name="ARCHIVO" totalsRowFunction="count" dataDxfId="1856" totalsRowDxfId="78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a7" displayName="Tabla7" ref="A1:AI52" totalsRowCount="1" headerRowDxfId="1855" headerRowCellStyle="Bueno">
  <autoFilter ref="A1:AI51" xr:uid="{00000000-0009-0000-0100-000007000000}"/>
  <tableColumns count="35">
    <tableColumn id="1" xr3:uid="{00000000-0010-0000-0400-000001000000}" name="Folio" totalsRowLabel="Total" dataDxfId="1854" totalsRowDxfId="781"/>
    <tableColumn id="2" xr3:uid="{00000000-0010-0000-0400-000002000000}" name="RFC" dataDxfId="1853" totalsRowDxfId="780"/>
    <tableColumn id="3" xr3:uid="{00000000-0010-0000-0400-000003000000}" name="Fecha" dataDxfId="1852" totalsRowDxfId="779"/>
    <tableColumn id="4" xr3:uid="{00000000-0010-0000-0400-000004000000}" name="Empresa" dataDxfId="1851" totalsRowDxfId="778"/>
    <tableColumn id="5" xr3:uid="{00000000-0010-0000-0400-000005000000}" name="Nombre completo de quien firma (Iniciando por apellidos, nombre)" dataDxfId="1850" totalsRowDxfId="777"/>
    <tableColumn id="6" xr3:uid="{00000000-0010-0000-0400-000006000000}" name="Tipo de empresa según ambito" dataDxfId="1849" totalsRowDxfId="776"/>
    <tableColumn id="7" xr3:uid="{00000000-0010-0000-0400-000007000000}" name="Tamaño" dataDxfId="1848" totalsRowDxfId="775"/>
    <tableColumn id="8" xr3:uid="{00000000-0010-0000-0400-000008000000}" name="Sector" dataDxfId="1847" totalsRowDxfId="774"/>
    <tableColumn id="9" xr3:uid="{00000000-0010-0000-0400-000009000000}" name="Servicio" dataDxfId="1846" totalsRowDxfId="773"/>
    <tableColumn id="10" xr3:uid="{00000000-0010-0000-0400-00000A000000}" name="Estado" dataDxfId="1845" totalsRowDxfId="772"/>
    <tableColumn id="11" xr3:uid="{00000000-0010-0000-0400-00000B000000}" name="Municipio" dataDxfId="1844" totalsRowDxfId="771"/>
    <tableColumn id="12" xr3:uid="{00000000-0010-0000-0400-00000C000000}" name="Puesto que ocupa en la empresa:" dataDxfId="1843" totalsRowDxfId="770"/>
    <tableColumn id="13" xr3:uid="{00000000-0010-0000-0400-00000D000000}" name="Teléfono de contacto (y extensión)" dataDxfId="1842" totalsRowDxfId="769"/>
    <tableColumn id="14" xr3:uid="{00000000-0010-0000-0400-00000E000000}" name="Correo empresarial" dataDxfId="1841" totalsRowDxfId="768"/>
    <tableColumn id="15" xr3:uid="{00000000-0010-0000-0400-00000F000000}" name="Whatsapp" dataDxfId="1840" totalsRowDxfId="767"/>
    <tableColumn id="16" xr3:uid="{00000000-0010-0000-0400-000010000000}" name="Columna1" dataDxfId="1839" totalsRowDxfId="766"/>
    <tableColumn id="17" xr3:uid="{00000000-0010-0000-0400-000011000000}" name="Nombre completo (Iniciando por apellidos, nombre)" dataDxfId="1838" totalsRowDxfId="765"/>
    <tableColumn id="18" xr3:uid="{00000000-0010-0000-0400-000012000000}" name="Puesto que ocupa en la empresa:2" dataDxfId="1837" totalsRowDxfId="764"/>
    <tableColumn id="19" xr3:uid="{00000000-0010-0000-0400-000013000000}" name="Teléfono de contacto (y extensión)3" dataDxfId="1836" totalsRowDxfId="763"/>
    <tableColumn id="20" xr3:uid="{00000000-0010-0000-0400-000014000000}" name="Correo empresarial4" dataDxfId="1835" totalsRowDxfId="762"/>
    <tableColumn id="21" xr3:uid="{00000000-0010-0000-0400-000015000000}" name="Whatsapp5" dataDxfId="1834" totalsRowDxfId="761"/>
    <tableColumn id="22" xr3:uid="{00000000-0010-0000-0400-000016000000}" name="Columna6" dataDxfId="1833" totalsRowDxfId="760"/>
    <tableColumn id="23" xr3:uid="{00000000-0010-0000-0400-000017000000}" name="Nombre completo (Iniciando por apellidos, nombre)7" dataDxfId="1832" totalsRowDxfId="759"/>
    <tableColumn id="24" xr3:uid="{00000000-0010-0000-0400-000018000000}" name="Puesto que ocupa en la empresa:8" dataDxfId="1831" totalsRowDxfId="758"/>
    <tableColumn id="25" xr3:uid="{00000000-0010-0000-0400-000019000000}" name="Teléfono de contacto (y extensión)9" dataDxfId="1830" totalsRowDxfId="757"/>
    <tableColumn id="26" xr3:uid="{00000000-0010-0000-0400-00001A000000}" name="Correo empresarial10" dataDxfId="1829" totalsRowDxfId="756"/>
    <tableColumn id="27" xr3:uid="{00000000-0010-0000-0400-00001B000000}" name="Whatsapp11" dataDxfId="1828" totalsRowDxfId="755"/>
    <tableColumn id="28" xr3:uid="{00000000-0010-0000-0400-00001C000000}" name="Columna12" dataDxfId="1827" totalsRowDxfId="754"/>
    <tableColumn id="29" xr3:uid="{00000000-0010-0000-0400-00001D000000}" name="Nombre completo (Iniciando por apellidos, nombre)13" dataDxfId="1826" totalsRowDxfId="753"/>
    <tableColumn id="30" xr3:uid="{00000000-0010-0000-0400-00001E000000}" name="Puesto que ocupa en la empresa:14" dataDxfId="1825" totalsRowDxfId="752"/>
    <tableColumn id="31" xr3:uid="{00000000-0010-0000-0400-00001F000000}" name="Teléfono de contacto (y extensión)15" dataDxfId="1824" totalsRowDxfId="751"/>
    <tableColumn id="32" xr3:uid="{00000000-0010-0000-0400-000020000000}" name="Correo empresarial16" dataDxfId="1823" totalsRowDxfId="750"/>
    <tableColumn id="33" xr3:uid="{00000000-0010-0000-0400-000021000000}" name="Whatsapp17" dataDxfId="1822" totalsRowDxfId="749"/>
    <tableColumn id="34" xr3:uid="{00000000-0010-0000-0400-000022000000}" name="Columna18"/>
    <tableColumn id="35" xr3:uid="{00000000-0010-0000-0400-000023000000}" name="ARCHIVO" totalsRowFunction="count" dataDxfId="1821" totalsRowDxfId="7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la8" displayName="Tabla8" ref="A1:AI52" totalsRowCount="1" headerRowDxfId="1820" headerRowCellStyle="Bueno">
  <autoFilter ref="A1:AI51" xr:uid="{00000000-0009-0000-0100-000008000000}"/>
  <tableColumns count="35">
    <tableColumn id="1" xr3:uid="{00000000-0010-0000-0500-000001000000}" name="Folio" totalsRowLabel="Total" dataDxfId="1819" totalsRowDxfId="747"/>
    <tableColumn id="2" xr3:uid="{00000000-0010-0000-0500-000002000000}" name="RFC" dataDxfId="1818" totalsRowDxfId="746"/>
    <tableColumn id="3" xr3:uid="{00000000-0010-0000-0500-000003000000}" name="Fecha" dataDxfId="1817" totalsRowDxfId="745"/>
    <tableColumn id="4" xr3:uid="{00000000-0010-0000-0500-000004000000}" name="Empresa" dataDxfId="1816" totalsRowDxfId="744"/>
    <tableColumn id="5" xr3:uid="{00000000-0010-0000-0500-000005000000}" name="Nombre completo de quien firma (Iniciando por apellidos, nombre)" dataDxfId="1815" totalsRowDxfId="743"/>
    <tableColumn id="6" xr3:uid="{00000000-0010-0000-0500-000006000000}" name="Tipo de empresa según ambito" dataDxfId="1814" totalsRowDxfId="742"/>
    <tableColumn id="7" xr3:uid="{00000000-0010-0000-0500-000007000000}" name="Tamaño" dataDxfId="1813" totalsRowDxfId="741"/>
    <tableColumn id="8" xr3:uid="{00000000-0010-0000-0500-000008000000}" name="Sector" dataDxfId="1812" totalsRowDxfId="740"/>
    <tableColumn id="9" xr3:uid="{00000000-0010-0000-0500-000009000000}" name="Servicio" dataDxfId="1811" totalsRowDxfId="739"/>
    <tableColumn id="10" xr3:uid="{00000000-0010-0000-0500-00000A000000}" name="Estado" dataDxfId="1810" totalsRowDxfId="738"/>
    <tableColumn id="11" xr3:uid="{00000000-0010-0000-0500-00000B000000}" name="Municipio" dataDxfId="1809" totalsRowDxfId="737"/>
    <tableColumn id="12" xr3:uid="{00000000-0010-0000-0500-00000C000000}" name="Puesto que ocupa en la empresa:" dataDxfId="1808" totalsRowDxfId="736"/>
    <tableColumn id="13" xr3:uid="{00000000-0010-0000-0500-00000D000000}" name="Teléfono de contacto (y extensión)" dataDxfId="1807" totalsRowDxfId="735"/>
    <tableColumn id="14" xr3:uid="{00000000-0010-0000-0500-00000E000000}" name="Correo empresarial" dataDxfId="1806" totalsRowDxfId="734"/>
    <tableColumn id="15" xr3:uid="{00000000-0010-0000-0500-00000F000000}" name="Whatsapp" dataDxfId="1805" totalsRowDxfId="733"/>
    <tableColumn id="16" xr3:uid="{00000000-0010-0000-0500-000010000000}" name="Columna1" dataDxfId="1804" totalsRowDxfId="732"/>
    <tableColumn id="17" xr3:uid="{00000000-0010-0000-0500-000011000000}" name="Nombre completo (Iniciando por apellidos, nombre)" dataDxfId="1803" totalsRowDxfId="731"/>
    <tableColumn id="18" xr3:uid="{00000000-0010-0000-0500-000012000000}" name="Puesto que ocupa en la empresa:2" dataDxfId="1802" totalsRowDxfId="730"/>
    <tableColumn id="19" xr3:uid="{00000000-0010-0000-0500-000013000000}" name="Teléfono de contacto (y extensión)3" dataDxfId="1801" totalsRowDxfId="729"/>
    <tableColumn id="20" xr3:uid="{00000000-0010-0000-0500-000014000000}" name="Correo empresarial4" dataDxfId="1800" totalsRowDxfId="728"/>
    <tableColumn id="21" xr3:uid="{00000000-0010-0000-0500-000015000000}" name="Whatsapp5" dataDxfId="1799" totalsRowDxfId="727"/>
    <tableColumn id="22" xr3:uid="{00000000-0010-0000-0500-000016000000}" name="Columna6" dataDxfId="1798" totalsRowDxfId="726"/>
    <tableColumn id="23" xr3:uid="{00000000-0010-0000-0500-000017000000}" name="Nombre completo (Iniciando por apellidos, nombre)7" dataDxfId="1797" totalsRowDxfId="725"/>
    <tableColumn id="24" xr3:uid="{00000000-0010-0000-0500-000018000000}" name="Puesto que ocupa en la empresa:8" dataDxfId="1796" totalsRowDxfId="724"/>
    <tableColumn id="25" xr3:uid="{00000000-0010-0000-0500-000019000000}" name="Teléfono de contacto (y extensión)9" dataDxfId="1795" totalsRowDxfId="723"/>
    <tableColumn id="26" xr3:uid="{00000000-0010-0000-0500-00001A000000}" name="Correo empresarial10" dataDxfId="1794" totalsRowDxfId="722"/>
    <tableColumn id="27" xr3:uid="{00000000-0010-0000-0500-00001B000000}" name="Whatsapp11" dataDxfId="1793" totalsRowDxfId="721"/>
    <tableColumn id="28" xr3:uid="{00000000-0010-0000-0500-00001C000000}" name="Columna12" dataDxfId="1792" totalsRowDxfId="720"/>
    <tableColumn id="29" xr3:uid="{00000000-0010-0000-0500-00001D000000}" name="Nombre completo (Iniciando por apellidos, nombre)13" dataDxfId="1791" totalsRowDxfId="719"/>
    <tableColumn id="30" xr3:uid="{00000000-0010-0000-0500-00001E000000}" name="Puesto que ocupa en la empresa:14" dataDxfId="1790" totalsRowDxfId="718"/>
    <tableColumn id="31" xr3:uid="{00000000-0010-0000-0500-00001F000000}" name="Teléfono de contacto (y extensión)15" dataDxfId="1789" totalsRowDxfId="717"/>
    <tableColumn id="32" xr3:uid="{00000000-0010-0000-0500-000020000000}" name="Correo empresarial16" dataDxfId="1788" totalsRowDxfId="716"/>
    <tableColumn id="33" xr3:uid="{00000000-0010-0000-0500-000021000000}" name="Whatsapp17" dataDxfId="1787" totalsRowDxfId="715"/>
    <tableColumn id="34" xr3:uid="{00000000-0010-0000-0500-000022000000}" name="Columna18"/>
    <tableColumn id="35" xr3:uid="{00000000-0010-0000-0500-000023000000}" name="ARCHIVO" totalsRowFunction="count" dataDxfId="1786" totalsRowDxfId="7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la9" displayName="Tabla9" ref="A1:AI52" totalsRowCount="1" headerRowDxfId="1785" headerRowCellStyle="Bueno">
  <autoFilter ref="A1:AI51" xr:uid="{00000000-0009-0000-0100-000009000000}"/>
  <tableColumns count="35">
    <tableColumn id="1" xr3:uid="{00000000-0010-0000-0600-000001000000}" name="Folio" totalsRowLabel="Total" dataDxfId="1784" totalsRowDxfId="713"/>
    <tableColumn id="2" xr3:uid="{00000000-0010-0000-0600-000002000000}" name="RFC" dataDxfId="1783" totalsRowDxfId="712"/>
    <tableColumn id="3" xr3:uid="{00000000-0010-0000-0600-000003000000}" name="Fecha" dataDxfId="1782" totalsRowDxfId="711"/>
    <tableColumn id="4" xr3:uid="{00000000-0010-0000-0600-000004000000}" name="Empresa" dataDxfId="1781" totalsRowDxfId="710"/>
    <tableColumn id="5" xr3:uid="{00000000-0010-0000-0600-000005000000}" name="Nombre completo de quien firma (Iniciando por apellidos, nombre)" dataDxfId="1780" totalsRowDxfId="709"/>
    <tableColumn id="6" xr3:uid="{00000000-0010-0000-0600-000006000000}" name="Tipo de empresa según ambito" dataDxfId="1779" totalsRowDxfId="708"/>
    <tableColumn id="7" xr3:uid="{00000000-0010-0000-0600-000007000000}" name="Tamaño" dataDxfId="1778" totalsRowDxfId="707"/>
    <tableColumn id="8" xr3:uid="{00000000-0010-0000-0600-000008000000}" name="Sector" dataDxfId="1777" totalsRowDxfId="706"/>
    <tableColumn id="9" xr3:uid="{00000000-0010-0000-0600-000009000000}" name="Servicio" dataDxfId="1776" totalsRowDxfId="705"/>
    <tableColumn id="10" xr3:uid="{00000000-0010-0000-0600-00000A000000}" name="Estado" dataDxfId="1775" totalsRowDxfId="704"/>
    <tableColumn id="11" xr3:uid="{00000000-0010-0000-0600-00000B000000}" name="Municipio" dataDxfId="1774" totalsRowDxfId="703"/>
    <tableColumn id="12" xr3:uid="{00000000-0010-0000-0600-00000C000000}" name="Puesto que ocupa en la empresa:" dataDxfId="1773" totalsRowDxfId="702"/>
    <tableColumn id="13" xr3:uid="{00000000-0010-0000-0600-00000D000000}" name="Teléfono de contacto (y extensión)" dataDxfId="1772" totalsRowDxfId="701"/>
    <tableColumn id="14" xr3:uid="{00000000-0010-0000-0600-00000E000000}" name="Correo empresarial" dataDxfId="1771" totalsRowDxfId="700"/>
    <tableColumn id="15" xr3:uid="{00000000-0010-0000-0600-00000F000000}" name="Whatsapp" dataDxfId="1770" totalsRowDxfId="699"/>
    <tableColumn id="16" xr3:uid="{00000000-0010-0000-0600-000010000000}" name="Columna1" dataDxfId="1769" totalsRowDxfId="698"/>
    <tableColumn id="17" xr3:uid="{00000000-0010-0000-0600-000011000000}" name="Nombre completo (Iniciando por apellidos, nombre)" dataDxfId="1768" totalsRowDxfId="697"/>
    <tableColumn id="18" xr3:uid="{00000000-0010-0000-0600-000012000000}" name="Puesto que ocupa en la empresa:2" dataDxfId="1767" totalsRowDxfId="696"/>
    <tableColumn id="19" xr3:uid="{00000000-0010-0000-0600-000013000000}" name="Teléfono de contacto (y extensión)3" dataDxfId="1766" totalsRowDxfId="695"/>
    <tableColumn id="20" xr3:uid="{00000000-0010-0000-0600-000014000000}" name="Correo empresarial4" dataDxfId="1765" totalsRowDxfId="694"/>
    <tableColumn id="21" xr3:uid="{00000000-0010-0000-0600-000015000000}" name="Whatsapp5" dataDxfId="1764" totalsRowDxfId="693"/>
    <tableColumn id="22" xr3:uid="{00000000-0010-0000-0600-000016000000}" name="Columna6" dataDxfId="1763" totalsRowDxfId="692"/>
    <tableColumn id="23" xr3:uid="{00000000-0010-0000-0600-000017000000}" name="Nombre completo (Iniciando por apellidos, nombre)7" dataDxfId="1762" totalsRowDxfId="691"/>
    <tableColumn id="24" xr3:uid="{00000000-0010-0000-0600-000018000000}" name="Puesto que ocupa en la empresa:8" dataDxfId="1761" totalsRowDxfId="690"/>
    <tableColumn id="25" xr3:uid="{00000000-0010-0000-0600-000019000000}" name="Teléfono de contacto (y extensión)9" dataDxfId="1760" totalsRowDxfId="689"/>
    <tableColumn id="26" xr3:uid="{00000000-0010-0000-0600-00001A000000}" name="Correo empresarial10" dataDxfId="1759" totalsRowDxfId="688"/>
    <tableColumn id="27" xr3:uid="{00000000-0010-0000-0600-00001B000000}" name="Whatsapp11" dataDxfId="1758" totalsRowDxfId="687"/>
    <tableColumn id="28" xr3:uid="{00000000-0010-0000-0600-00001C000000}" name="Columna12" dataDxfId="1757" totalsRowDxfId="686"/>
    <tableColumn id="29" xr3:uid="{00000000-0010-0000-0600-00001D000000}" name="Nombre completo (Iniciando por apellidos, nombre)13" dataDxfId="1756" totalsRowDxfId="685"/>
    <tableColumn id="30" xr3:uid="{00000000-0010-0000-0600-00001E000000}" name="Puesto que ocupa en la empresa:14" dataDxfId="1755" totalsRowDxfId="684"/>
    <tableColumn id="31" xr3:uid="{00000000-0010-0000-0600-00001F000000}" name="Teléfono de contacto (y extensión)15" dataDxfId="1754" totalsRowDxfId="683"/>
    <tableColumn id="32" xr3:uid="{00000000-0010-0000-0600-000020000000}" name="Correo empresarial16" dataDxfId="1753" totalsRowDxfId="682"/>
    <tableColumn id="33" xr3:uid="{00000000-0010-0000-0600-000021000000}" name="Whatsapp17" dataDxfId="1752" totalsRowDxfId="681"/>
    <tableColumn id="34" xr3:uid="{00000000-0010-0000-0600-000022000000}" name="Columna18"/>
    <tableColumn id="35" xr3:uid="{00000000-0010-0000-0600-000023000000}" name="ARCHIVO" totalsRowFunction="count" dataDxfId="1751" totalsRowDxfId="68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a10" displayName="Tabla10" ref="A1:AI52" totalsRowCount="1" headerRowDxfId="1750" headerRowCellStyle="Bueno">
  <autoFilter ref="A1:AI51" xr:uid="{00000000-0009-0000-0100-00000A000000}"/>
  <tableColumns count="35">
    <tableColumn id="1" xr3:uid="{00000000-0010-0000-0700-000001000000}" name="Folio" totalsRowLabel="Total" dataDxfId="1749" totalsRowDxfId="679"/>
    <tableColumn id="2" xr3:uid="{00000000-0010-0000-0700-000002000000}" name="RFC" dataDxfId="1748" totalsRowDxfId="678"/>
    <tableColumn id="3" xr3:uid="{00000000-0010-0000-0700-000003000000}" name="Fecha" dataDxfId="1747" totalsRowDxfId="677"/>
    <tableColumn id="4" xr3:uid="{00000000-0010-0000-0700-000004000000}" name="Empresa" dataDxfId="1746" totalsRowDxfId="676"/>
    <tableColumn id="5" xr3:uid="{00000000-0010-0000-0700-000005000000}" name="Nombre completo de quien firma (Iniciando por apellidos, nombre)" dataDxfId="1745" totalsRowDxfId="675"/>
    <tableColumn id="6" xr3:uid="{00000000-0010-0000-0700-000006000000}" name="Tipo de empresa según ambito" dataDxfId="1744" totalsRowDxfId="674"/>
    <tableColumn id="7" xr3:uid="{00000000-0010-0000-0700-000007000000}" name="Tamaño" dataDxfId="1743" totalsRowDxfId="673"/>
    <tableColumn id="8" xr3:uid="{00000000-0010-0000-0700-000008000000}" name="Sector" dataDxfId="1742" totalsRowDxfId="672"/>
    <tableColumn id="9" xr3:uid="{00000000-0010-0000-0700-000009000000}" name="Servicio" dataDxfId="1741" totalsRowDxfId="671"/>
    <tableColumn id="10" xr3:uid="{00000000-0010-0000-0700-00000A000000}" name="Estado" dataDxfId="1740" totalsRowDxfId="670"/>
    <tableColumn id="11" xr3:uid="{00000000-0010-0000-0700-00000B000000}" name="Municipio" dataDxfId="1739" totalsRowDxfId="669"/>
    <tableColumn id="12" xr3:uid="{00000000-0010-0000-0700-00000C000000}" name="Puesto que ocupa en la empresa:" dataDxfId="1738" totalsRowDxfId="668"/>
    <tableColumn id="13" xr3:uid="{00000000-0010-0000-0700-00000D000000}" name="Teléfono de contacto (y extensión)" dataDxfId="1737" totalsRowDxfId="667"/>
    <tableColumn id="14" xr3:uid="{00000000-0010-0000-0700-00000E000000}" name="Correo empresarial" dataDxfId="1736" totalsRowDxfId="666"/>
    <tableColumn id="15" xr3:uid="{00000000-0010-0000-0700-00000F000000}" name="Whatsapp" dataDxfId="1735" totalsRowDxfId="665"/>
    <tableColumn id="16" xr3:uid="{00000000-0010-0000-0700-000010000000}" name="Columna1" dataDxfId="1734" totalsRowDxfId="664"/>
    <tableColumn id="17" xr3:uid="{00000000-0010-0000-0700-000011000000}" name="Nombre completo (Iniciando por apellidos, nombre)" dataDxfId="1733" totalsRowDxfId="663"/>
    <tableColumn id="18" xr3:uid="{00000000-0010-0000-0700-000012000000}" name="Puesto que ocupa en la empresa:2" dataDxfId="1732" totalsRowDxfId="662"/>
    <tableColumn id="19" xr3:uid="{00000000-0010-0000-0700-000013000000}" name="Teléfono de contacto (y extensión)3" dataDxfId="1731" totalsRowDxfId="661"/>
    <tableColumn id="20" xr3:uid="{00000000-0010-0000-0700-000014000000}" name="Correo empresarial4" dataDxfId="1730" totalsRowDxfId="660"/>
    <tableColumn id="21" xr3:uid="{00000000-0010-0000-0700-000015000000}" name="Whatsapp5" dataDxfId="1729" totalsRowDxfId="659"/>
    <tableColumn id="22" xr3:uid="{00000000-0010-0000-0700-000016000000}" name="Columna6" dataDxfId="1728" totalsRowDxfId="658"/>
    <tableColumn id="23" xr3:uid="{00000000-0010-0000-0700-000017000000}" name="Nombre completo (Iniciando por apellidos, nombre)7" dataDxfId="1727" totalsRowDxfId="657"/>
    <tableColumn id="24" xr3:uid="{00000000-0010-0000-0700-000018000000}" name="Puesto que ocupa en la empresa:8" dataDxfId="1726" totalsRowDxfId="656"/>
    <tableColumn id="25" xr3:uid="{00000000-0010-0000-0700-000019000000}" name="Teléfono de contacto (y extensión)9" dataDxfId="1725" totalsRowDxfId="655"/>
    <tableColumn id="26" xr3:uid="{00000000-0010-0000-0700-00001A000000}" name="Correo empresarial10" dataDxfId="1724" totalsRowDxfId="654"/>
    <tableColumn id="27" xr3:uid="{00000000-0010-0000-0700-00001B000000}" name="Whatsapp11" dataDxfId="1723" totalsRowDxfId="653"/>
    <tableColumn id="28" xr3:uid="{00000000-0010-0000-0700-00001C000000}" name="Columna12" dataDxfId="1722" totalsRowDxfId="652"/>
    <tableColumn id="29" xr3:uid="{00000000-0010-0000-0700-00001D000000}" name="Nombre completo (Iniciando por apellidos, nombre)13" dataDxfId="1721" totalsRowDxfId="651"/>
    <tableColumn id="30" xr3:uid="{00000000-0010-0000-0700-00001E000000}" name="Puesto que ocupa en la empresa:14" dataDxfId="1720" totalsRowDxfId="650"/>
    <tableColumn id="31" xr3:uid="{00000000-0010-0000-0700-00001F000000}" name="Teléfono de contacto (y extensión)15" dataDxfId="1719" totalsRowDxfId="649"/>
    <tableColumn id="32" xr3:uid="{00000000-0010-0000-0700-000020000000}" name="Correo empresarial16" dataDxfId="1718" totalsRowDxfId="648"/>
    <tableColumn id="33" xr3:uid="{00000000-0010-0000-0700-000021000000}" name="Whatsapp17" dataDxfId="1717" totalsRowDxfId="647"/>
    <tableColumn id="34" xr3:uid="{00000000-0010-0000-0700-000022000000}" name="Columna18"/>
    <tableColumn id="35" xr3:uid="{00000000-0010-0000-0700-000023000000}" name="ARCHIVO" totalsRowFunction="count" dataDxfId="1716" totalsRowDxfId="6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abla11" displayName="Tabla11" ref="A1:AI52" totalsRowCount="1" headerRowDxfId="1715" headerRowCellStyle="Bueno">
  <autoFilter ref="A1:AI51" xr:uid="{00000000-0009-0000-0100-00000B000000}"/>
  <tableColumns count="35">
    <tableColumn id="1" xr3:uid="{00000000-0010-0000-0800-000001000000}" name="Folio" totalsRowLabel="Total" dataDxfId="1714" totalsRowDxfId="645"/>
    <tableColumn id="2" xr3:uid="{00000000-0010-0000-0800-000002000000}" name="RFC" dataDxfId="1713" totalsRowDxfId="644"/>
    <tableColumn id="3" xr3:uid="{00000000-0010-0000-0800-000003000000}" name="Fecha" dataDxfId="1712" totalsRowDxfId="643"/>
    <tableColumn id="4" xr3:uid="{00000000-0010-0000-0800-000004000000}" name="Empresa" dataDxfId="1711" totalsRowDxfId="642"/>
    <tableColumn id="5" xr3:uid="{00000000-0010-0000-0800-000005000000}" name="Nombre completo de quien firma (Iniciando por apellidos, nombre)" dataDxfId="1710" totalsRowDxfId="641"/>
    <tableColumn id="6" xr3:uid="{00000000-0010-0000-0800-000006000000}" name="Tipo de empresa según ambito" dataDxfId="1709" totalsRowDxfId="640"/>
    <tableColumn id="7" xr3:uid="{00000000-0010-0000-0800-000007000000}" name="Tamaño" dataDxfId="1708" totalsRowDxfId="639"/>
    <tableColumn id="8" xr3:uid="{00000000-0010-0000-0800-000008000000}" name="Sector" dataDxfId="1707" totalsRowDxfId="638"/>
    <tableColumn id="9" xr3:uid="{00000000-0010-0000-0800-000009000000}" name="Servicio" dataDxfId="1706" totalsRowDxfId="637"/>
    <tableColumn id="10" xr3:uid="{00000000-0010-0000-0800-00000A000000}" name="Estado" dataDxfId="1705" totalsRowDxfId="636"/>
    <tableColumn id="11" xr3:uid="{00000000-0010-0000-0800-00000B000000}" name="Municipio" dataDxfId="1704" totalsRowDxfId="635"/>
    <tableColumn id="12" xr3:uid="{00000000-0010-0000-0800-00000C000000}" name="Puesto que ocupa en la empresa:" dataDxfId="1703" totalsRowDxfId="634"/>
    <tableColumn id="13" xr3:uid="{00000000-0010-0000-0800-00000D000000}" name="Teléfono de contacto (y extensión)" dataDxfId="1702" totalsRowDxfId="633"/>
    <tableColumn id="14" xr3:uid="{00000000-0010-0000-0800-00000E000000}" name="Correo empresarial" dataDxfId="1701" totalsRowDxfId="632"/>
    <tableColumn id="15" xr3:uid="{00000000-0010-0000-0800-00000F000000}" name="Whatsapp" dataDxfId="1700" totalsRowDxfId="631"/>
    <tableColumn id="16" xr3:uid="{00000000-0010-0000-0800-000010000000}" name="Columna1" dataDxfId="1699" totalsRowDxfId="630"/>
    <tableColumn id="17" xr3:uid="{00000000-0010-0000-0800-000011000000}" name="Nombre completo (Iniciando por apellidos, nombre)" dataDxfId="1698" totalsRowDxfId="629"/>
    <tableColumn id="18" xr3:uid="{00000000-0010-0000-0800-000012000000}" name="Puesto que ocupa en la empresa:2" dataDxfId="1697" totalsRowDxfId="628"/>
    <tableColumn id="19" xr3:uid="{00000000-0010-0000-0800-000013000000}" name="Teléfono de contacto (y extensión)3" dataDxfId="1696" totalsRowDxfId="627"/>
    <tableColumn id="20" xr3:uid="{00000000-0010-0000-0800-000014000000}" name="Correo empresarial4" dataDxfId="1695" totalsRowDxfId="626"/>
    <tableColumn id="21" xr3:uid="{00000000-0010-0000-0800-000015000000}" name="Whatsapp5" dataDxfId="1694" totalsRowDxfId="625"/>
    <tableColumn id="22" xr3:uid="{00000000-0010-0000-0800-000016000000}" name="Columna6" dataDxfId="1693" totalsRowDxfId="624"/>
    <tableColumn id="23" xr3:uid="{00000000-0010-0000-0800-000017000000}" name="Nombre completo (Iniciando por apellidos, nombre)7" dataDxfId="1692" totalsRowDxfId="623"/>
    <tableColumn id="24" xr3:uid="{00000000-0010-0000-0800-000018000000}" name="Puesto que ocupa en la empresa:8" dataDxfId="1691" totalsRowDxfId="622"/>
    <tableColumn id="25" xr3:uid="{00000000-0010-0000-0800-000019000000}" name="Teléfono de contacto (y extensión)9" dataDxfId="1690" totalsRowDxfId="621"/>
    <tableColumn id="26" xr3:uid="{00000000-0010-0000-0800-00001A000000}" name="Correo empresarial10" dataDxfId="1689" totalsRowDxfId="620"/>
    <tableColumn id="27" xr3:uid="{00000000-0010-0000-0800-00001B000000}" name="Whatsapp11" dataDxfId="1688" totalsRowDxfId="619"/>
    <tableColumn id="28" xr3:uid="{00000000-0010-0000-0800-00001C000000}" name="Columna12" dataDxfId="1687" totalsRowDxfId="618"/>
    <tableColumn id="29" xr3:uid="{00000000-0010-0000-0800-00001D000000}" name="Nombre completo (Iniciando por apellidos, nombre)13" dataDxfId="1686" totalsRowDxfId="617"/>
    <tableColumn id="30" xr3:uid="{00000000-0010-0000-0800-00001E000000}" name="Puesto que ocupa en la empresa:14" dataDxfId="1685" totalsRowDxfId="616"/>
    <tableColumn id="31" xr3:uid="{00000000-0010-0000-0800-00001F000000}" name="Teléfono de contacto (y extensión)15" dataDxfId="1684" totalsRowDxfId="615"/>
    <tableColumn id="32" xr3:uid="{00000000-0010-0000-0800-000020000000}" name="Correo empresarial16" dataDxfId="1683" totalsRowDxfId="614"/>
    <tableColumn id="33" xr3:uid="{00000000-0010-0000-0800-000021000000}" name="Whatsapp17" dataDxfId="1682" totalsRowDxfId="613"/>
    <tableColumn id="34" xr3:uid="{00000000-0010-0000-0800-000022000000}" name="Columna18"/>
    <tableColumn id="35" xr3:uid="{00000000-0010-0000-0800-000023000000}" name="ARCHIVO" totalsRowFunction="count" dataDxfId="1681" totalsRowDxfId="61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abla12" displayName="Tabla12" ref="A1:AI52" totalsRowCount="1" headerRowDxfId="1680" headerRowCellStyle="Bueno">
  <autoFilter ref="A1:AI51" xr:uid="{00000000-0009-0000-0100-00000C000000}"/>
  <tableColumns count="35">
    <tableColumn id="1" xr3:uid="{00000000-0010-0000-0900-000001000000}" name="Folio" totalsRowLabel="Total" dataDxfId="1679" totalsRowDxfId="611"/>
    <tableColumn id="2" xr3:uid="{00000000-0010-0000-0900-000002000000}" name="RFC" dataDxfId="1678" totalsRowDxfId="610"/>
    <tableColumn id="3" xr3:uid="{00000000-0010-0000-0900-000003000000}" name="Fecha" dataDxfId="1677" totalsRowDxfId="609"/>
    <tableColumn id="4" xr3:uid="{00000000-0010-0000-0900-000004000000}" name="Empresa" dataDxfId="1676" totalsRowDxfId="608"/>
    <tableColumn id="5" xr3:uid="{00000000-0010-0000-0900-000005000000}" name="Nombre completo de quien firma (Iniciando por apellidos, nombre)" dataDxfId="1675" totalsRowDxfId="607"/>
    <tableColumn id="6" xr3:uid="{00000000-0010-0000-0900-000006000000}" name="Tipo de empresa según ambito" dataDxfId="1674" totalsRowDxfId="606"/>
    <tableColumn id="7" xr3:uid="{00000000-0010-0000-0900-000007000000}" name="Tamaño" dataDxfId="1673" totalsRowDxfId="605"/>
    <tableColumn id="8" xr3:uid="{00000000-0010-0000-0900-000008000000}" name="Sector" dataDxfId="1672" totalsRowDxfId="604"/>
    <tableColumn id="9" xr3:uid="{00000000-0010-0000-0900-000009000000}" name="Servicio" dataDxfId="1671" totalsRowDxfId="603"/>
    <tableColumn id="10" xr3:uid="{00000000-0010-0000-0900-00000A000000}" name="Estado" dataDxfId="1670" totalsRowDxfId="602"/>
    <tableColumn id="11" xr3:uid="{00000000-0010-0000-0900-00000B000000}" name="Municipio" dataDxfId="1669" totalsRowDxfId="601"/>
    <tableColumn id="12" xr3:uid="{00000000-0010-0000-0900-00000C000000}" name="Puesto que ocupa en la empresa:" dataDxfId="1668" totalsRowDxfId="600"/>
    <tableColumn id="13" xr3:uid="{00000000-0010-0000-0900-00000D000000}" name="Teléfono de contacto (y extensión)" dataDxfId="1667" totalsRowDxfId="599"/>
    <tableColumn id="14" xr3:uid="{00000000-0010-0000-0900-00000E000000}" name="Correo empresarial" dataDxfId="1666" totalsRowDxfId="598"/>
    <tableColumn id="15" xr3:uid="{00000000-0010-0000-0900-00000F000000}" name="Whatsapp" dataDxfId="1665" totalsRowDxfId="597"/>
    <tableColumn id="16" xr3:uid="{00000000-0010-0000-0900-000010000000}" name="Columna1" dataDxfId="1664" totalsRowDxfId="596"/>
    <tableColumn id="17" xr3:uid="{00000000-0010-0000-0900-000011000000}" name="Nombre completo (Iniciando por apellidos, nombre)" dataDxfId="1663" totalsRowDxfId="595"/>
    <tableColumn id="18" xr3:uid="{00000000-0010-0000-0900-000012000000}" name="Puesto que ocupa en la empresa:2" dataDxfId="1662" totalsRowDxfId="594"/>
    <tableColumn id="19" xr3:uid="{00000000-0010-0000-0900-000013000000}" name="Teléfono de contacto (y extensión)3" dataDxfId="1661" totalsRowDxfId="593"/>
    <tableColumn id="20" xr3:uid="{00000000-0010-0000-0900-000014000000}" name="Correo empresarial4" dataDxfId="1660" totalsRowDxfId="592"/>
    <tableColumn id="21" xr3:uid="{00000000-0010-0000-0900-000015000000}" name="Whatsapp5" dataDxfId="1659" totalsRowDxfId="591"/>
    <tableColumn id="22" xr3:uid="{00000000-0010-0000-0900-000016000000}" name="Columna6" dataDxfId="1658" totalsRowDxfId="590"/>
    <tableColumn id="23" xr3:uid="{00000000-0010-0000-0900-000017000000}" name="Nombre completo (Iniciando por apellidos, nombre)7" dataDxfId="1657" totalsRowDxfId="589"/>
    <tableColumn id="24" xr3:uid="{00000000-0010-0000-0900-000018000000}" name="Puesto que ocupa en la empresa:8" dataDxfId="1656" totalsRowDxfId="588"/>
    <tableColumn id="25" xr3:uid="{00000000-0010-0000-0900-000019000000}" name="Teléfono de contacto (y extensión)9" dataDxfId="1655" totalsRowDxfId="587"/>
    <tableColumn id="26" xr3:uid="{00000000-0010-0000-0900-00001A000000}" name="Correo empresarial10" dataDxfId="1654" totalsRowDxfId="586"/>
    <tableColumn id="27" xr3:uid="{00000000-0010-0000-0900-00001B000000}" name="Whatsapp11" dataDxfId="1653" totalsRowDxfId="585"/>
    <tableColumn id="28" xr3:uid="{00000000-0010-0000-0900-00001C000000}" name="Columna12" dataDxfId="1652" totalsRowDxfId="584"/>
    <tableColumn id="29" xr3:uid="{00000000-0010-0000-0900-00001D000000}" name="Nombre completo (Iniciando por apellidos, nombre)13" dataDxfId="1651" totalsRowDxfId="583"/>
    <tableColumn id="30" xr3:uid="{00000000-0010-0000-0900-00001E000000}" name="Puesto que ocupa en la empresa:14" dataDxfId="1650" totalsRowDxfId="582"/>
    <tableColumn id="31" xr3:uid="{00000000-0010-0000-0900-00001F000000}" name="Teléfono de contacto (y extensión)15" dataDxfId="1649" totalsRowDxfId="581"/>
    <tableColumn id="32" xr3:uid="{00000000-0010-0000-0900-000020000000}" name="Correo empresarial16" dataDxfId="1648" totalsRowDxfId="580"/>
    <tableColumn id="33" xr3:uid="{00000000-0010-0000-0900-000021000000}" name="Whatsapp17" dataDxfId="1647" totalsRowDxfId="579"/>
    <tableColumn id="34" xr3:uid="{00000000-0010-0000-0900-000022000000}" name="Columna18"/>
    <tableColumn id="35" xr3:uid="{00000000-0010-0000-0900-000023000000}" name="ARCHIVO" totalsRowFunction="count" dataDxfId="1646" totalsRowDxfId="5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Tabla14" displayName="Tabla14" ref="A1:AI52" totalsRowCount="1" headerRowDxfId="1645" headerRowCellStyle="Bueno">
  <autoFilter ref="A1:AI51" xr:uid="{00000000-0009-0000-0100-00000D000000}"/>
  <tableColumns count="35">
    <tableColumn id="1" xr3:uid="{00000000-0010-0000-0A00-000001000000}" name="Folio" totalsRowLabel="Total" dataDxfId="1644" totalsRowDxfId="577"/>
    <tableColumn id="2" xr3:uid="{00000000-0010-0000-0A00-000002000000}" name="RFC" dataDxfId="1643" totalsRowDxfId="576"/>
    <tableColumn id="3" xr3:uid="{00000000-0010-0000-0A00-000003000000}" name="Fecha" dataDxfId="1642" totalsRowDxfId="575"/>
    <tableColumn id="4" xr3:uid="{00000000-0010-0000-0A00-000004000000}" name="Empresa" dataDxfId="1641" totalsRowDxfId="574"/>
    <tableColumn id="5" xr3:uid="{00000000-0010-0000-0A00-000005000000}" name="Nombre completo de quien firma (Iniciando por apellidos, nombre)" dataDxfId="1640" totalsRowDxfId="573"/>
    <tableColumn id="6" xr3:uid="{00000000-0010-0000-0A00-000006000000}" name="Tipo de empresa según ambito" dataDxfId="1639" totalsRowDxfId="572"/>
    <tableColumn id="7" xr3:uid="{00000000-0010-0000-0A00-000007000000}" name="Tamaño" dataDxfId="1638" totalsRowDxfId="571"/>
    <tableColumn id="8" xr3:uid="{00000000-0010-0000-0A00-000008000000}" name="Sector" dataDxfId="1637" totalsRowDxfId="570"/>
    <tableColumn id="9" xr3:uid="{00000000-0010-0000-0A00-000009000000}" name="Servicio" dataDxfId="1636" totalsRowDxfId="569"/>
    <tableColumn id="10" xr3:uid="{00000000-0010-0000-0A00-00000A000000}" name="Estado" dataDxfId="1635" totalsRowDxfId="568"/>
    <tableColumn id="11" xr3:uid="{00000000-0010-0000-0A00-00000B000000}" name="Municipio" dataDxfId="1634" totalsRowDxfId="567"/>
    <tableColumn id="12" xr3:uid="{00000000-0010-0000-0A00-00000C000000}" name="Puesto que ocupa en la empresa:" dataDxfId="1633" totalsRowDxfId="566"/>
    <tableColumn id="13" xr3:uid="{00000000-0010-0000-0A00-00000D000000}" name="Teléfono de contacto (y extensión)" dataDxfId="1632" totalsRowDxfId="565"/>
    <tableColumn id="14" xr3:uid="{00000000-0010-0000-0A00-00000E000000}" name="Correo empresarial" dataDxfId="1631" totalsRowDxfId="564"/>
    <tableColumn id="15" xr3:uid="{00000000-0010-0000-0A00-00000F000000}" name="Whatsapp" dataDxfId="1630" totalsRowDxfId="563"/>
    <tableColumn id="16" xr3:uid="{00000000-0010-0000-0A00-000010000000}" name="Columna1" dataDxfId="1629" totalsRowDxfId="562"/>
    <tableColumn id="17" xr3:uid="{00000000-0010-0000-0A00-000011000000}" name="Nombre completo (Iniciando por apellidos, nombre)" dataDxfId="1628" totalsRowDxfId="561"/>
    <tableColumn id="18" xr3:uid="{00000000-0010-0000-0A00-000012000000}" name="Puesto que ocupa en la empresa:2" dataDxfId="1627" totalsRowDxfId="560"/>
    <tableColumn id="19" xr3:uid="{00000000-0010-0000-0A00-000013000000}" name="Teléfono de contacto (y extensión)3" dataDxfId="1626" totalsRowDxfId="559"/>
    <tableColumn id="20" xr3:uid="{00000000-0010-0000-0A00-000014000000}" name="Correo empresarial4" dataDxfId="1625" totalsRowDxfId="558"/>
    <tableColumn id="21" xr3:uid="{00000000-0010-0000-0A00-000015000000}" name="Whatsapp5" dataDxfId="1624" totalsRowDxfId="557"/>
    <tableColumn id="22" xr3:uid="{00000000-0010-0000-0A00-000016000000}" name="Columna6" dataDxfId="1623" totalsRowDxfId="556"/>
    <tableColumn id="23" xr3:uid="{00000000-0010-0000-0A00-000017000000}" name="Nombre completo (Iniciando por apellidos, nombre)7" dataDxfId="1622" totalsRowDxfId="555"/>
    <tableColumn id="24" xr3:uid="{00000000-0010-0000-0A00-000018000000}" name="Puesto que ocupa en la empresa:8" dataDxfId="1621" totalsRowDxfId="554"/>
    <tableColumn id="25" xr3:uid="{00000000-0010-0000-0A00-000019000000}" name="Teléfono de contacto (y extensión)9" dataDxfId="1620" totalsRowDxfId="553"/>
    <tableColumn id="26" xr3:uid="{00000000-0010-0000-0A00-00001A000000}" name="Correo empresarial10" dataDxfId="1619" totalsRowDxfId="552"/>
    <tableColumn id="27" xr3:uid="{00000000-0010-0000-0A00-00001B000000}" name="Whatsapp11" dataDxfId="1618" totalsRowDxfId="551"/>
    <tableColumn id="28" xr3:uid="{00000000-0010-0000-0A00-00001C000000}" name="Columna12" dataDxfId="1617" totalsRowDxfId="550"/>
    <tableColumn id="29" xr3:uid="{00000000-0010-0000-0A00-00001D000000}" name="Nombre completo (Iniciando por apellidos, nombre)13" dataDxfId="1616" totalsRowDxfId="549"/>
    <tableColumn id="30" xr3:uid="{00000000-0010-0000-0A00-00001E000000}" name="Puesto que ocupa en la empresa:14" dataDxfId="1615" totalsRowDxfId="548"/>
    <tableColumn id="31" xr3:uid="{00000000-0010-0000-0A00-00001F000000}" name="Teléfono de contacto (y extensión)15" dataDxfId="1614" totalsRowDxfId="547"/>
    <tableColumn id="32" xr3:uid="{00000000-0010-0000-0A00-000020000000}" name="Correo empresarial16" dataDxfId="1613" totalsRowDxfId="546"/>
    <tableColumn id="33" xr3:uid="{00000000-0010-0000-0A00-000021000000}" name="Whatsapp17" dataDxfId="1612" totalsRowDxfId="545"/>
    <tableColumn id="34" xr3:uid="{00000000-0010-0000-0A00-000022000000}" name="Columna18"/>
    <tableColumn id="35" xr3:uid="{00000000-0010-0000-0A00-000023000000}" name="ARCHIVO" totalsRowFunction="count" dataDxfId="1611" totalsRowDxfId="54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Tabla15" displayName="Tabla15" ref="A1:AI52" totalsRowCount="1" headerRowDxfId="1610" headerRowCellStyle="Bueno">
  <autoFilter ref="A1:AI51" xr:uid="{00000000-0009-0000-0100-00000E000000}"/>
  <tableColumns count="35">
    <tableColumn id="1" xr3:uid="{00000000-0010-0000-0B00-000001000000}" name="Folio" totalsRowLabel="Total" dataDxfId="1609" totalsRowDxfId="543"/>
    <tableColumn id="2" xr3:uid="{00000000-0010-0000-0B00-000002000000}" name="RFC" dataDxfId="1608" totalsRowDxfId="542"/>
    <tableColumn id="3" xr3:uid="{00000000-0010-0000-0B00-000003000000}" name="Fecha" dataDxfId="1607" totalsRowDxfId="541"/>
    <tableColumn id="4" xr3:uid="{00000000-0010-0000-0B00-000004000000}" name="Empresa" dataDxfId="1606" totalsRowDxfId="540"/>
    <tableColumn id="5" xr3:uid="{00000000-0010-0000-0B00-000005000000}" name="Nombre completo de quien firma (Iniciando por apellidos, nombre)" dataDxfId="1605" totalsRowDxfId="539"/>
    <tableColumn id="6" xr3:uid="{00000000-0010-0000-0B00-000006000000}" name="Tipo de empresa según ambito" dataDxfId="1604" totalsRowDxfId="538"/>
    <tableColumn id="7" xr3:uid="{00000000-0010-0000-0B00-000007000000}" name="Tamaño" dataDxfId="1603" totalsRowDxfId="537"/>
    <tableColumn id="8" xr3:uid="{00000000-0010-0000-0B00-000008000000}" name="Sector" dataDxfId="1602" totalsRowDxfId="536"/>
    <tableColumn id="9" xr3:uid="{00000000-0010-0000-0B00-000009000000}" name="Servicio" dataDxfId="1601" totalsRowDxfId="535"/>
    <tableColumn id="10" xr3:uid="{00000000-0010-0000-0B00-00000A000000}" name="Estado" dataDxfId="1600" totalsRowDxfId="534"/>
    <tableColumn id="11" xr3:uid="{00000000-0010-0000-0B00-00000B000000}" name="Municipio" dataDxfId="1599" totalsRowDxfId="533"/>
    <tableColumn id="12" xr3:uid="{00000000-0010-0000-0B00-00000C000000}" name="Puesto que ocupa en la empresa:" dataDxfId="1598" totalsRowDxfId="532"/>
    <tableColumn id="13" xr3:uid="{00000000-0010-0000-0B00-00000D000000}" name="Teléfono de contacto (y extensión)" dataDxfId="1597" totalsRowDxfId="531"/>
    <tableColumn id="14" xr3:uid="{00000000-0010-0000-0B00-00000E000000}" name="Correo empresarial" dataDxfId="1596" totalsRowDxfId="530"/>
    <tableColumn id="15" xr3:uid="{00000000-0010-0000-0B00-00000F000000}" name="Whatsapp" dataDxfId="1595" totalsRowDxfId="529"/>
    <tableColumn id="16" xr3:uid="{00000000-0010-0000-0B00-000010000000}" name="Columna1" dataDxfId="1594" totalsRowDxfId="528"/>
    <tableColumn id="17" xr3:uid="{00000000-0010-0000-0B00-000011000000}" name="Nombre completo (Iniciando por apellidos, nombre)" dataDxfId="1593" totalsRowDxfId="527"/>
    <tableColumn id="18" xr3:uid="{00000000-0010-0000-0B00-000012000000}" name="Puesto que ocupa en la empresa:2" dataDxfId="1592" totalsRowDxfId="526"/>
    <tableColumn id="19" xr3:uid="{00000000-0010-0000-0B00-000013000000}" name="Teléfono de contacto (y extensión)3" dataDxfId="1591" totalsRowDxfId="525"/>
    <tableColumn id="20" xr3:uid="{00000000-0010-0000-0B00-000014000000}" name="Correo empresarial4" dataDxfId="1590" totalsRowDxfId="524"/>
    <tableColumn id="21" xr3:uid="{00000000-0010-0000-0B00-000015000000}" name="Whatsapp5" dataDxfId="1589" totalsRowDxfId="523"/>
    <tableColumn id="22" xr3:uid="{00000000-0010-0000-0B00-000016000000}" name="Columna6" dataDxfId="1588" totalsRowDxfId="522"/>
    <tableColumn id="23" xr3:uid="{00000000-0010-0000-0B00-000017000000}" name="Nombre completo (Iniciando por apellidos, nombre)7" dataDxfId="1587" totalsRowDxfId="521"/>
    <tableColumn id="24" xr3:uid="{00000000-0010-0000-0B00-000018000000}" name="Puesto que ocupa en la empresa:8" dataDxfId="1586" totalsRowDxfId="520"/>
    <tableColumn id="25" xr3:uid="{00000000-0010-0000-0B00-000019000000}" name="Teléfono de contacto (y extensión)9" dataDxfId="1585" totalsRowDxfId="519"/>
    <tableColumn id="26" xr3:uid="{00000000-0010-0000-0B00-00001A000000}" name="Correo empresarial10" dataDxfId="1584" totalsRowDxfId="518"/>
    <tableColumn id="27" xr3:uid="{00000000-0010-0000-0B00-00001B000000}" name="Whatsapp11" dataDxfId="1583" totalsRowDxfId="517"/>
    <tableColumn id="28" xr3:uid="{00000000-0010-0000-0B00-00001C000000}" name="Columna12" dataDxfId="1582" totalsRowDxfId="516"/>
    <tableColumn id="29" xr3:uid="{00000000-0010-0000-0B00-00001D000000}" name="Nombre completo (Iniciando por apellidos, nombre)13" dataDxfId="1581" totalsRowDxfId="515"/>
    <tableColumn id="30" xr3:uid="{00000000-0010-0000-0B00-00001E000000}" name="Puesto que ocupa en la empresa:14" dataDxfId="1580" totalsRowDxfId="514"/>
    <tableColumn id="31" xr3:uid="{00000000-0010-0000-0B00-00001F000000}" name="Teléfono de contacto (y extensión)15" dataDxfId="1579" totalsRowDxfId="513"/>
    <tableColumn id="32" xr3:uid="{00000000-0010-0000-0B00-000020000000}" name="Correo empresarial16" dataDxfId="1578" totalsRowDxfId="512"/>
    <tableColumn id="33" xr3:uid="{00000000-0010-0000-0B00-000021000000}" name="Whatsapp17" dataDxfId="1577" totalsRowDxfId="511"/>
    <tableColumn id="34" xr3:uid="{00000000-0010-0000-0B00-000022000000}" name="Columna18"/>
    <tableColumn id="35" xr3:uid="{00000000-0010-0000-0B00-000023000000}" name="ARCHIVO" totalsRowFunction="count" dataDxfId="1576" totalsRowDxfId="51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C000000}" name="Tabla16" displayName="Tabla16" ref="A1:AI52" totalsRowCount="1" headerRowDxfId="1575" headerRowCellStyle="Bueno">
  <autoFilter ref="A1:AI51" xr:uid="{00000000-0009-0000-0100-00000F000000}"/>
  <tableColumns count="35">
    <tableColumn id="1" xr3:uid="{00000000-0010-0000-0C00-000001000000}" name="Folio" totalsRowLabel="Total" dataDxfId="1574" totalsRowDxfId="509"/>
    <tableColumn id="2" xr3:uid="{00000000-0010-0000-0C00-000002000000}" name="RFC" dataDxfId="1573" totalsRowDxfId="508"/>
    <tableColumn id="3" xr3:uid="{00000000-0010-0000-0C00-000003000000}" name="Fecha" dataDxfId="1572" totalsRowDxfId="507"/>
    <tableColumn id="4" xr3:uid="{00000000-0010-0000-0C00-000004000000}" name="Empresa" dataDxfId="1571" totalsRowDxfId="506"/>
    <tableColumn id="5" xr3:uid="{00000000-0010-0000-0C00-000005000000}" name="Nombre completo de quien firma (Iniciando por apellidos, nombre)" dataDxfId="1570" totalsRowDxfId="505"/>
    <tableColumn id="6" xr3:uid="{00000000-0010-0000-0C00-000006000000}" name="Tipo de empresa según ambito" dataDxfId="1569" totalsRowDxfId="504"/>
    <tableColumn id="7" xr3:uid="{00000000-0010-0000-0C00-000007000000}" name="Tamaño" dataDxfId="1568" totalsRowDxfId="503"/>
    <tableColumn id="8" xr3:uid="{00000000-0010-0000-0C00-000008000000}" name="Sector" dataDxfId="1567" totalsRowDxfId="502"/>
    <tableColumn id="9" xr3:uid="{00000000-0010-0000-0C00-000009000000}" name="Servicio" dataDxfId="1566" totalsRowDxfId="501"/>
    <tableColumn id="10" xr3:uid="{00000000-0010-0000-0C00-00000A000000}" name="Estado" dataDxfId="1565" totalsRowDxfId="500"/>
    <tableColumn id="11" xr3:uid="{00000000-0010-0000-0C00-00000B000000}" name="Municipio" dataDxfId="1564" totalsRowDxfId="499"/>
    <tableColumn id="12" xr3:uid="{00000000-0010-0000-0C00-00000C000000}" name="Puesto que ocupa en la empresa:" dataDxfId="1563" totalsRowDxfId="498"/>
    <tableColumn id="13" xr3:uid="{00000000-0010-0000-0C00-00000D000000}" name="Teléfono de contacto (y extensión)" dataDxfId="1562" totalsRowDxfId="497"/>
    <tableColumn id="14" xr3:uid="{00000000-0010-0000-0C00-00000E000000}" name="Correo empresarial" dataDxfId="1561" totalsRowDxfId="496"/>
    <tableColumn id="15" xr3:uid="{00000000-0010-0000-0C00-00000F000000}" name="Whatsapp" dataDxfId="1560" totalsRowDxfId="495"/>
    <tableColumn id="16" xr3:uid="{00000000-0010-0000-0C00-000010000000}" name="Columna1" dataDxfId="1559" totalsRowDxfId="494"/>
    <tableColumn id="17" xr3:uid="{00000000-0010-0000-0C00-000011000000}" name="Nombre completo (Iniciando por apellidos, nombre)" dataDxfId="1558" totalsRowDxfId="493"/>
    <tableColumn id="18" xr3:uid="{00000000-0010-0000-0C00-000012000000}" name="Puesto que ocupa en la empresa:2" dataDxfId="1557" totalsRowDxfId="492"/>
    <tableColumn id="19" xr3:uid="{00000000-0010-0000-0C00-000013000000}" name="Teléfono de contacto (y extensión)3" dataDxfId="1556" totalsRowDxfId="491"/>
    <tableColumn id="20" xr3:uid="{00000000-0010-0000-0C00-000014000000}" name="Correo empresarial4" dataDxfId="1555" totalsRowDxfId="490"/>
    <tableColumn id="21" xr3:uid="{00000000-0010-0000-0C00-000015000000}" name="Whatsapp5" dataDxfId="1554" totalsRowDxfId="489"/>
    <tableColumn id="22" xr3:uid="{00000000-0010-0000-0C00-000016000000}" name="Columna6" dataDxfId="1553" totalsRowDxfId="488"/>
    <tableColumn id="23" xr3:uid="{00000000-0010-0000-0C00-000017000000}" name="Nombre completo (Iniciando por apellidos, nombre)7" dataDxfId="1552" totalsRowDxfId="487"/>
    <tableColumn id="24" xr3:uid="{00000000-0010-0000-0C00-000018000000}" name="Puesto que ocupa en la empresa:8" dataDxfId="1551" totalsRowDxfId="486"/>
    <tableColumn id="25" xr3:uid="{00000000-0010-0000-0C00-000019000000}" name="Teléfono de contacto (y extensión)9" dataDxfId="1550" totalsRowDxfId="485"/>
    <tableColumn id="26" xr3:uid="{00000000-0010-0000-0C00-00001A000000}" name="Correo empresarial10" dataDxfId="1549" totalsRowDxfId="484"/>
    <tableColumn id="27" xr3:uid="{00000000-0010-0000-0C00-00001B000000}" name="Whatsapp11" dataDxfId="1548" totalsRowDxfId="483"/>
    <tableColumn id="28" xr3:uid="{00000000-0010-0000-0C00-00001C000000}" name="Columna12" dataDxfId="1547" totalsRowDxfId="482"/>
    <tableColumn id="29" xr3:uid="{00000000-0010-0000-0C00-00001D000000}" name="Nombre completo (Iniciando por apellidos, nombre)13" dataDxfId="1546" totalsRowDxfId="481"/>
    <tableColumn id="30" xr3:uid="{00000000-0010-0000-0C00-00001E000000}" name="Puesto que ocupa en la empresa:14" dataDxfId="1545" totalsRowDxfId="480"/>
    <tableColumn id="31" xr3:uid="{00000000-0010-0000-0C00-00001F000000}" name="Teléfono de contacto (y extensión)15" dataDxfId="1544" totalsRowDxfId="479"/>
    <tableColumn id="32" xr3:uid="{00000000-0010-0000-0C00-000020000000}" name="Correo empresarial16" dataDxfId="1543" totalsRowDxfId="478"/>
    <tableColumn id="33" xr3:uid="{00000000-0010-0000-0C00-000021000000}" name="Whatsapp17" dataDxfId="1542" totalsRowDxfId="477"/>
    <tableColumn id="34" xr3:uid="{00000000-0010-0000-0C00-000022000000}" name="Columna18"/>
    <tableColumn id="35" xr3:uid="{00000000-0010-0000-0C00-000023000000}" name="ARCHIVO" totalsRowFunction="count" dataDxfId="1541" totalsRowDxfId="47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Tabla17" displayName="Tabla17" ref="A1:AI52" totalsRowCount="1" headerRowDxfId="1540" headerRowCellStyle="Bueno">
  <autoFilter ref="A1:AI51" xr:uid="{00000000-0009-0000-0100-000010000000}"/>
  <tableColumns count="35">
    <tableColumn id="1" xr3:uid="{00000000-0010-0000-0D00-000001000000}" name="Folio" totalsRowLabel="Total" dataDxfId="1539" totalsRowDxfId="475"/>
    <tableColumn id="2" xr3:uid="{00000000-0010-0000-0D00-000002000000}" name="RFC" dataDxfId="1538" totalsRowDxfId="474"/>
    <tableColumn id="3" xr3:uid="{00000000-0010-0000-0D00-000003000000}" name="Fecha" dataDxfId="1537" totalsRowDxfId="473"/>
    <tableColumn id="4" xr3:uid="{00000000-0010-0000-0D00-000004000000}" name="Empresa" dataDxfId="1536" totalsRowDxfId="472"/>
    <tableColumn id="5" xr3:uid="{00000000-0010-0000-0D00-000005000000}" name="Nombre completo de quien firma (Iniciando por apellidos, nombre)" dataDxfId="1535" totalsRowDxfId="471"/>
    <tableColumn id="6" xr3:uid="{00000000-0010-0000-0D00-000006000000}" name="Tipo de empresa según ambito" dataDxfId="1534" totalsRowDxfId="470"/>
    <tableColumn id="7" xr3:uid="{00000000-0010-0000-0D00-000007000000}" name="Tamaño" dataDxfId="1533" totalsRowDxfId="469"/>
    <tableColumn id="8" xr3:uid="{00000000-0010-0000-0D00-000008000000}" name="Sector" dataDxfId="1532" totalsRowDxfId="468"/>
    <tableColumn id="9" xr3:uid="{00000000-0010-0000-0D00-000009000000}" name="Servicio" dataDxfId="1531" totalsRowDxfId="467"/>
    <tableColumn id="10" xr3:uid="{00000000-0010-0000-0D00-00000A000000}" name="Estado" dataDxfId="1530" totalsRowDxfId="466"/>
    <tableColumn id="11" xr3:uid="{00000000-0010-0000-0D00-00000B000000}" name="Municipio" dataDxfId="1529" totalsRowDxfId="465"/>
    <tableColumn id="12" xr3:uid="{00000000-0010-0000-0D00-00000C000000}" name="Puesto que ocupa en la empresa:" dataDxfId="1528" totalsRowDxfId="464"/>
    <tableColumn id="13" xr3:uid="{00000000-0010-0000-0D00-00000D000000}" name="Teléfono de contacto (y extensión)" dataDxfId="1527" totalsRowDxfId="463"/>
    <tableColumn id="14" xr3:uid="{00000000-0010-0000-0D00-00000E000000}" name="Correo empresarial" dataDxfId="1526" totalsRowDxfId="462"/>
    <tableColumn id="15" xr3:uid="{00000000-0010-0000-0D00-00000F000000}" name="Whatsapp" dataDxfId="1525" totalsRowDxfId="461"/>
    <tableColumn id="16" xr3:uid="{00000000-0010-0000-0D00-000010000000}" name="Columna1" dataDxfId="1524" totalsRowDxfId="460"/>
    <tableColumn id="17" xr3:uid="{00000000-0010-0000-0D00-000011000000}" name="Nombre completo (Iniciando por apellidos, nombre)" dataDxfId="1523" totalsRowDxfId="459"/>
    <tableColumn id="18" xr3:uid="{00000000-0010-0000-0D00-000012000000}" name="Puesto que ocupa en la empresa:2" dataDxfId="1522" totalsRowDxfId="458"/>
    <tableColumn id="19" xr3:uid="{00000000-0010-0000-0D00-000013000000}" name="Teléfono de contacto (y extensión)3" dataDxfId="1521" totalsRowDxfId="457"/>
    <tableColumn id="20" xr3:uid="{00000000-0010-0000-0D00-000014000000}" name="Correo empresarial4" dataDxfId="1520" totalsRowDxfId="456"/>
    <tableColumn id="21" xr3:uid="{00000000-0010-0000-0D00-000015000000}" name="Whatsapp5" dataDxfId="1519" totalsRowDxfId="455"/>
    <tableColumn id="22" xr3:uid="{00000000-0010-0000-0D00-000016000000}" name="Columna6" dataDxfId="1518" totalsRowDxfId="454"/>
    <tableColumn id="23" xr3:uid="{00000000-0010-0000-0D00-000017000000}" name="Nombre completo (Iniciando por apellidos, nombre)7" dataDxfId="1517" totalsRowDxfId="453"/>
    <tableColumn id="24" xr3:uid="{00000000-0010-0000-0D00-000018000000}" name="Puesto que ocupa en la empresa:8" dataDxfId="1516" totalsRowDxfId="452"/>
    <tableColumn id="25" xr3:uid="{00000000-0010-0000-0D00-000019000000}" name="Teléfono de contacto (y extensión)9" dataDxfId="1515" totalsRowDxfId="451"/>
    <tableColumn id="26" xr3:uid="{00000000-0010-0000-0D00-00001A000000}" name="Correo empresarial10" dataDxfId="1514" totalsRowDxfId="450"/>
    <tableColumn id="27" xr3:uid="{00000000-0010-0000-0D00-00001B000000}" name="Whatsapp11" dataDxfId="1513" totalsRowDxfId="449"/>
    <tableColumn id="28" xr3:uid="{00000000-0010-0000-0D00-00001C000000}" name="Columna12" dataDxfId="1512" totalsRowDxfId="448"/>
    <tableColumn id="29" xr3:uid="{00000000-0010-0000-0D00-00001D000000}" name="Nombre completo (Iniciando por apellidos, nombre)13" dataDxfId="1511" totalsRowDxfId="447"/>
    <tableColumn id="30" xr3:uid="{00000000-0010-0000-0D00-00001E000000}" name="Puesto que ocupa en la empresa:14" dataDxfId="1510" totalsRowDxfId="446"/>
    <tableColumn id="31" xr3:uid="{00000000-0010-0000-0D00-00001F000000}" name="Teléfono de contacto (y extensión)15" dataDxfId="1509" totalsRowDxfId="445"/>
    <tableColumn id="32" xr3:uid="{00000000-0010-0000-0D00-000020000000}" name="Correo empresarial16" dataDxfId="1508" totalsRowDxfId="444"/>
    <tableColumn id="33" xr3:uid="{00000000-0010-0000-0D00-000021000000}" name="Whatsapp17" dataDxfId="1507" totalsRowDxfId="443"/>
    <tableColumn id="34" xr3:uid="{00000000-0010-0000-0D00-000022000000}" name="Columna18"/>
    <tableColumn id="35" xr3:uid="{00000000-0010-0000-0D00-000023000000}" name="ARCHIVO" totalsRowFunction="count" dataDxfId="1506" totalsRowDxfId="44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E000000}" name="Tabla18" displayName="Tabla18" ref="A1:AI52" totalsRowCount="1" headerRowDxfId="1505" headerRowCellStyle="Bueno">
  <autoFilter ref="A1:AI51" xr:uid="{00000000-0009-0000-0100-000011000000}"/>
  <tableColumns count="35">
    <tableColumn id="1" xr3:uid="{00000000-0010-0000-0E00-000001000000}" name="Folio" totalsRowLabel="Total" dataDxfId="1504" totalsRowDxfId="441"/>
    <tableColumn id="2" xr3:uid="{00000000-0010-0000-0E00-000002000000}" name="RFC" dataDxfId="1503" totalsRowDxfId="440"/>
    <tableColumn id="3" xr3:uid="{00000000-0010-0000-0E00-000003000000}" name="Fecha" dataDxfId="1502" totalsRowDxfId="439"/>
    <tableColumn id="4" xr3:uid="{00000000-0010-0000-0E00-000004000000}" name="Empresa" dataDxfId="1501" totalsRowDxfId="438"/>
    <tableColumn id="5" xr3:uid="{00000000-0010-0000-0E00-000005000000}" name="Nombre completo de quien firma (Iniciando por apellidos, nombre)" dataDxfId="1500" totalsRowDxfId="437"/>
    <tableColumn id="6" xr3:uid="{00000000-0010-0000-0E00-000006000000}" name="Tipo de empresa según ambito" dataDxfId="1499" totalsRowDxfId="436"/>
    <tableColumn id="7" xr3:uid="{00000000-0010-0000-0E00-000007000000}" name="Tamaño" dataDxfId="1498" totalsRowDxfId="435"/>
    <tableColumn id="8" xr3:uid="{00000000-0010-0000-0E00-000008000000}" name="Sector" dataDxfId="1497" totalsRowDxfId="434"/>
    <tableColumn id="9" xr3:uid="{00000000-0010-0000-0E00-000009000000}" name="Servicio" dataDxfId="1496" totalsRowDxfId="433"/>
    <tableColumn id="10" xr3:uid="{00000000-0010-0000-0E00-00000A000000}" name="Estado" dataDxfId="1495" totalsRowDxfId="432"/>
    <tableColumn id="11" xr3:uid="{00000000-0010-0000-0E00-00000B000000}" name="Municipio" dataDxfId="1494" totalsRowDxfId="431"/>
    <tableColumn id="12" xr3:uid="{00000000-0010-0000-0E00-00000C000000}" name="Puesto que ocupa en la empresa:" dataDxfId="1493" totalsRowDxfId="430"/>
    <tableColumn id="13" xr3:uid="{00000000-0010-0000-0E00-00000D000000}" name="Teléfono de contacto (y extensión)" dataDxfId="1492" totalsRowDxfId="429"/>
    <tableColumn id="14" xr3:uid="{00000000-0010-0000-0E00-00000E000000}" name="Correo empresarial" dataDxfId="1491" totalsRowDxfId="428"/>
    <tableColumn id="15" xr3:uid="{00000000-0010-0000-0E00-00000F000000}" name="Whatsapp" dataDxfId="1490" totalsRowDxfId="427"/>
    <tableColumn id="16" xr3:uid="{00000000-0010-0000-0E00-000010000000}" name="Columna1" dataDxfId="1489" totalsRowDxfId="426"/>
    <tableColumn id="17" xr3:uid="{00000000-0010-0000-0E00-000011000000}" name="Nombre completo (Iniciando por apellidos, nombre)" dataDxfId="1488" totalsRowDxfId="425"/>
    <tableColumn id="18" xr3:uid="{00000000-0010-0000-0E00-000012000000}" name="Puesto que ocupa en la empresa:2" dataDxfId="1487" totalsRowDxfId="424"/>
    <tableColumn id="19" xr3:uid="{00000000-0010-0000-0E00-000013000000}" name="Teléfono de contacto (y extensión)3" dataDxfId="1486" totalsRowDxfId="423"/>
    <tableColumn id="20" xr3:uid="{00000000-0010-0000-0E00-000014000000}" name="Correo empresarial4" dataDxfId="1485" totalsRowDxfId="422"/>
    <tableColumn id="21" xr3:uid="{00000000-0010-0000-0E00-000015000000}" name="Whatsapp5" dataDxfId="1484" totalsRowDxfId="421"/>
    <tableColumn id="22" xr3:uid="{00000000-0010-0000-0E00-000016000000}" name="Columna6" dataDxfId="1483" totalsRowDxfId="420"/>
    <tableColumn id="23" xr3:uid="{00000000-0010-0000-0E00-000017000000}" name="Nombre completo (Iniciando por apellidos, nombre)7" dataDxfId="1482" totalsRowDxfId="419"/>
    <tableColumn id="24" xr3:uid="{00000000-0010-0000-0E00-000018000000}" name="Puesto que ocupa en la empresa:8" dataDxfId="1481" totalsRowDxfId="418"/>
    <tableColumn id="25" xr3:uid="{00000000-0010-0000-0E00-000019000000}" name="Teléfono de contacto (y extensión)9" dataDxfId="1480" totalsRowDxfId="417"/>
    <tableColumn id="26" xr3:uid="{00000000-0010-0000-0E00-00001A000000}" name="Correo empresarial10" dataDxfId="1479" totalsRowDxfId="416"/>
    <tableColumn id="27" xr3:uid="{00000000-0010-0000-0E00-00001B000000}" name="Whatsapp11" dataDxfId="1478" totalsRowDxfId="415"/>
    <tableColumn id="28" xr3:uid="{00000000-0010-0000-0E00-00001C000000}" name="Columna12" dataDxfId="1477" totalsRowDxfId="414"/>
    <tableColumn id="29" xr3:uid="{00000000-0010-0000-0E00-00001D000000}" name="Nombre completo (Iniciando por apellidos, nombre)13" dataDxfId="1476" totalsRowDxfId="413"/>
    <tableColumn id="30" xr3:uid="{00000000-0010-0000-0E00-00001E000000}" name="Puesto que ocupa en la empresa:14" dataDxfId="1475" totalsRowDxfId="412"/>
    <tableColumn id="31" xr3:uid="{00000000-0010-0000-0E00-00001F000000}" name="Teléfono de contacto (y extensión)15" dataDxfId="1474" totalsRowDxfId="411"/>
    <tableColumn id="32" xr3:uid="{00000000-0010-0000-0E00-000020000000}" name="Correo empresarial16" dataDxfId="1473" totalsRowDxfId="410"/>
    <tableColumn id="33" xr3:uid="{00000000-0010-0000-0E00-000021000000}" name="Whatsapp17" dataDxfId="1472" totalsRowDxfId="409"/>
    <tableColumn id="34" xr3:uid="{00000000-0010-0000-0E00-000022000000}" name="Columna18"/>
    <tableColumn id="35" xr3:uid="{00000000-0010-0000-0E00-000023000000}" name="ARCHIVO" totalsRowFunction="count" dataDxfId="1471" totalsRowDxfId="408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F000000}" name="Tabla19" displayName="Tabla19" ref="A1:AI52" totalsRowCount="1" headerRowDxfId="1470" headerRowCellStyle="Bueno">
  <autoFilter ref="A1:AI51" xr:uid="{00000000-0009-0000-0100-000012000000}"/>
  <tableColumns count="35">
    <tableColumn id="1" xr3:uid="{00000000-0010-0000-0F00-000001000000}" name="Folio" totalsRowLabel="Total" dataDxfId="1469" totalsRowDxfId="1468"/>
    <tableColumn id="2" xr3:uid="{00000000-0010-0000-0F00-000002000000}" name="RFC" dataDxfId="1467" totalsRowDxfId="1466"/>
    <tableColumn id="3" xr3:uid="{00000000-0010-0000-0F00-000003000000}" name="Fecha" dataDxfId="1465" totalsRowDxfId="1464"/>
    <tableColumn id="4" xr3:uid="{00000000-0010-0000-0F00-000004000000}" name="Empresa" dataDxfId="1463" totalsRowDxfId="1462"/>
    <tableColumn id="5" xr3:uid="{00000000-0010-0000-0F00-000005000000}" name="Nombre completo de quien firma (Iniciando por apellidos, nombre)" dataDxfId="1461" totalsRowDxfId="1460"/>
    <tableColumn id="6" xr3:uid="{00000000-0010-0000-0F00-000006000000}" name="Tipo de empresa según ambito" dataDxfId="1459" totalsRowDxfId="1458"/>
    <tableColumn id="7" xr3:uid="{00000000-0010-0000-0F00-000007000000}" name="Tamaño" dataDxfId="1457" totalsRowDxfId="1456"/>
    <tableColumn id="8" xr3:uid="{00000000-0010-0000-0F00-000008000000}" name="Sector" dataDxfId="1455" totalsRowDxfId="1454"/>
    <tableColumn id="9" xr3:uid="{00000000-0010-0000-0F00-000009000000}" name="Servicio" dataDxfId="1453" totalsRowDxfId="1452"/>
    <tableColumn id="10" xr3:uid="{00000000-0010-0000-0F00-00000A000000}" name="Estado" dataDxfId="1451" totalsRowDxfId="1450"/>
    <tableColumn id="11" xr3:uid="{00000000-0010-0000-0F00-00000B000000}" name="Municipio" dataDxfId="1449" totalsRowDxfId="1448"/>
    <tableColumn id="12" xr3:uid="{00000000-0010-0000-0F00-00000C000000}" name="Puesto que ocupa en la empresa:" dataDxfId="1447" totalsRowDxfId="1446"/>
    <tableColumn id="13" xr3:uid="{00000000-0010-0000-0F00-00000D000000}" name="Teléfono de contacto (y extensión)" dataDxfId="1445" totalsRowDxfId="1444"/>
    <tableColumn id="14" xr3:uid="{00000000-0010-0000-0F00-00000E000000}" name="Correo empresarial" dataDxfId="1443" totalsRowDxfId="1442"/>
    <tableColumn id="15" xr3:uid="{00000000-0010-0000-0F00-00000F000000}" name="Whatsapp" dataDxfId="1441" totalsRowDxfId="1440"/>
    <tableColumn id="16" xr3:uid="{00000000-0010-0000-0F00-000010000000}" name="Columna1" dataDxfId="1439" totalsRowDxfId="1438"/>
    <tableColumn id="17" xr3:uid="{00000000-0010-0000-0F00-000011000000}" name="Nombre completo (Iniciando por apellidos, nombre)" dataDxfId="1437" totalsRowDxfId="1436"/>
    <tableColumn id="18" xr3:uid="{00000000-0010-0000-0F00-000012000000}" name="Puesto que ocupa en la empresa:2" dataDxfId="1435" totalsRowDxfId="1434"/>
    <tableColumn id="19" xr3:uid="{00000000-0010-0000-0F00-000013000000}" name="Teléfono de contacto (y extensión)3" dataDxfId="1433" totalsRowDxfId="1432"/>
    <tableColumn id="20" xr3:uid="{00000000-0010-0000-0F00-000014000000}" name="Correo empresarial4" dataDxfId="1431" totalsRowDxfId="1430"/>
    <tableColumn id="21" xr3:uid="{00000000-0010-0000-0F00-000015000000}" name="Whatsapp5" dataDxfId="1429" totalsRowDxfId="1428"/>
    <tableColumn id="22" xr3:uid="{00000000-0010-0000-0F00-000016000000}" name="Columna6" dataDxfId="1427" totalsRowDxfId="1426"/>
    <tableColumn id="23" xr3:uid="{00000000-0010-0000-0F00-000017000000}" name="Nombre completo (Iniciando por apellidos, nombre)7" dataDxfId="1425" totalsRowDxfId="1424"/>
    <tableColumn id="24" xr3:uid="{00000000-0010-0000-0F00-000018000000}" name="Puesto que ocupa en la empresa:8" dataDxfId="1423" totalsRowDxfId="1422"/>
    <tableColumn id="25" xr3:uid="{00000000-0010-0000-0F00-000019000000}" name="Teléfono de contacto (y extensión)9" dataDxfId="1421" totalsRowDxfId="1420"/>
    <tableColumn id="26" xr3:uid="{00000000-0010-0000-0F00-00001A000000}" name="Correo empresarial10" dataDxfId="1419" totalsRowDxfId="1418"/>
    <tableColumn id="27" xr3:uid="{00000000-0010-0000-0F00-00001B000000}" name="Whatsapp11" dataDxfId="1417" totalsRowDxfId="1416"/>
    <tableColumn id="28" xr3:uid="{00000000-0010-0000-0F00-00001C000000}" name="Columna12" dataDxfId="1415" totalsRowDxfId="1414"/>
    <tableColumn id="29" xr3:uid="{00000000-0010-0000-0F00-00001D000000}" name="Nombre completo (Iniciando por apellidos, nombre)13" dataDxfId="1413" totalsRowDxfId="1412"/>
    <tableColumn id="30" xr3:uid="{00000000-0010-0000-0F00-00001E000000}" name="Puesto que ocupa en la empresa:14" dataDxfId="1411" totalsRowDxfId="1410"/>
    <tableColumn id="31" xr3:uid="{00000000-0010-0000-0F00-00001F000000}" name="Teléfono de contacto (y extensión)15" dataDxfId="1409" totalsRowDxfId="1408"/>
    <tableColumn id="32" xr3:uid="{00000000-0010-0000-0F00-000020000000}" name="Correo empresarial16" dataDxfId="1407" totalsRowDxfId="1406"/>
    <tableColumn id="33" xr3:uid="{00000000-0010-0000-0F00-000021000000}" name="Whatsapp17" dataDxfId="1405" totalsRowDxfId="1404"/>
    <tableColumn id="34" xr3:uid="{00000000-0010-0000-0F00-000022000000}" name="Columna18"/>
    <tableColumn id="35" xr3:uid="{00000000-0010-0000-0F00-000023000000}" name="ARCHIVO" totalsRowFunction="count" dataDxfId="1403" totalsRowDxfId="140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0000000}" name="Tabla20" displayName="Tabla20" ref="A1:AI52" totalsRowCount="1" headerRowDxfId="1401" headerRowCellStyle="Bueno">
  <autoFilter ref="A1:AI51" xr:uid="{00000000-0009-0000-0100-000013000000}"/>
  <tableColumns count="35">
    <tableColumn id="1" xr3:uid="{00000000-0010-0000-1000-000001000000}" name="Folio" totalsRowLabel="Total" dataDxfId="1400" totalsRowDxfId="407"/>
    <tableColumn id="2" xr3:uid="{00000000-0010-0000-1000-000002000000}" name="RFC" dataDxfId="1399" totalsRowDxfId="406"/>
    <tableColumn id="3" xr3:uid="{00000000-0010-0000-1000-000003000000}" name="Fecha" dataDxfId="1398" totalsRowDxfId="405"/>
    <tableColumn id="4" xr3:uid="{00000000-0010-0000-1000-000004000000}" name="Empresa" dataDxfId="1397" totalsRowDxfId="404"/>
    <tableColumn id="5" xr3:uid="{00000000-0010-0000-1000-000005000000}" name="Nombre completo de quien firma (Iniciando por apellidos, nombre)" dataDxfId="1396" totalsRowDxfId="403"/>
    <tableColumn id="6" xr3:uid="{00000000-0010-0000-1000-000006000000}" name="Tipo de empresa según ambito" dataDxfId="1395" totalsRowDxfId="402"/>
    <tableColumn id="7" xr3:uid="{00000000-0010-0000-1000-000007000000}" name="Tamaño" dataDxfId="1394" totalsRowDxfId="401"/>
    <tableColumn id="8" xr3:uid="{00000000-0010-0000-1000-000008000000}" name="Sector" dataDxfId="1393" totalsRowDxfId="400"/>
    <tableColumn id="9" xr3:uid="{00000000-0010-0000-1000-000009000000}" name="Servicio" dataDxfId="1392" totalsRowDxfId="399"/>
    <tableColumn id="10" xr3:uid="{00000000-0010-0000-1000-00000A000000}" name="Estado" dataDxfId="1391" totalsRowDxfId="398"/>
    <tableColumn id="11" xr3:uid="{00000000-0010-0000-1000-00000B000000}" name="Municipio" dataDxfId="1390" totalsRowDxfId="397"/>
    <tableColumn id="12" xr3:uid="{00000000-0010-0000-1000-00000C000000}" name="Puesto que ocupa en la empresa:" dataDxfId="1389" totalsRowDxfId="396"/>
    <tableColumn id="13" xr3:uid="{00000000-0010-0000-1000-00000D000000}" name="Teléfono de contacto (y extensión)" dataDxfId="1388" totalsRowDxfId="395"/>
    <tableColumn id="14" xr3:uid="{00000000-0010-0000-1000-00000E000000}" name="Correo empresarial" dataDxfId="1387" totalsRowDxfId="394"/>
    <tableColumn id="15" xr3:uid="{00000000-0010-0000-1000-00000F000000}" name="Whatsapp" dataDxfId="1386" totalsRowDxfId="393"/>
    <tableColumn id="16" xr3:uid="{00000000-0010-0000-1000-000010000000}" name="Columna1" dataDxfId="1385" totalsRowDxfId="392"/>
    <tableColumn id="17" xr3:uid="{00000000-0010-0000-1000-000011000000}" name="Nombre completo (Iniciando por apellidos, nombre)" dataDxfId="1384" totalsRowDxfId="391"/>
    <tableColumn id="18" xr3:uid="{00000000-0010-0000-1000-000012000000}" name="Puesto que ocupa en la empresa:2" dataDxfId="1383" totalsRowDxfId="390"/>
    <tableColumn id="19" xr3:uid="{00000000-0010-0000-1000-000013000000}" name="Teléfono de contacto (y extensión)3" dataDxfId="1382" totalsRowDxfId="389"/>
    <tableColumn id="20" xr3:uid="{00000000-0010-0000-1000-000014000000}" name="Correo empresarial4" dataDxfId="1381" totalsRowDxfId="388"/>
    <tableColumn id="21" xr3:uid="{00000000-0010-0000-1000-000015000000}" name="Whatsapp5" dataDxfId="1380" totalsRowDxfId="387"/>
    <tableColumn id="22" xr3:uid="{00000000-0010-0000-1000-000016000000}" name="Columna6" dataDxfId="1379" totalsRowDxfId="386"/>
    <tableColumn id="23" xr3:uid="{00000000-0010-0000-1000-000017000000}" name="Nombre completo (Iniciando por apellidos, nombre)7" dataDxfId="1378" totalsRowDxfId="385"/>
    <tableColumn id="24" xr3:uid="{00000000-0010-0000-1000-000018000000}" name="Puesto que ocupa en la empresa:8" dataDxfId="1377" totalsRowDxfId="384"/>
    <tableColumn id="25" xr3:uid="{00000000-0010-0000-1000-000019000000}" name="Teléfono de contacto (y extensión)9" dataDxfId="1376" totalsRowDxfId="383"/>
    <tableColumn id="26" xr3:uid="{00000000-0010-0000-1000-00001A000000}" name="Correo empresarial10" dataDxfId="1375" totalsRowDxfId="382"/>
    <tableColumn id="27" xr3:uid="{00000000-0010-0000-1000-00001B000000}" name="Whatsapp11" dataDxfId="1374" totalsRowDxfId="381"/>
    <tableColumn id="28" xr3:uid="{00000000-0010-0000-1000-00001C000000}" name="Columna12" dataDxfId="1373" totalsRowDxfId="380"/>
    <tableColumn id="29" xr3:uid="{00000000-0010-0000-1000-00001D000000}" name="Nombre completo (Iniciando por apellidos, nombre)13" dataDxfId="1372" totalsRowDxfId="379"/>
    <tableColumn id="30" xr3:uid="{00000000-0010-0000-1000-00001E000000}" name="Puesto que ocupa en la empresa:14" dataDxfId="1371" totalsRowDxfId="378"/>
    <tableColumn id="31" xr3:uid="{00000000-0010-0000-1000-00001F000000}" name="Teléfono de contacto (y extensión)15" dataDxfId="1370" totalsRowDxfId="377"/>
    <tableColumn id="32" xr3:uid="{00000000-0010-0000-1000-000020000000}" name="Correo empresarial16" dataDxfId="1369" totalsRowDxfId="376"/>
    <tableColumn id="33" xr3:uid="{00000000-0010-0000-1000-000021000000}" name="Whatsapp17" dataDxfId="1368" totalsRowDxfId="375"/>
    <tableColumn id="34" xr3:uid="{00000000-0010-0000-1000-000022000000}" name="Columna18"/>
    <tableColumn id="35" xr3:uid="{00000000-0010-0000-1000-000023000000}" name="ARCHIVO" totalsRowFunction="count" dataDxfId="1367" totalsRowDxfId="37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1000000}" name="Tabla21" displayName="Tabla21" ref="A1:AI52" totalsRowCount="1" headerRowDxfId="1366" headerRowCellStyle="Bueno">
  <autoFilter ref="A1:AI51" xr:uid="{00000000-0009-0000-0100-000014000000}"/>
  <tableColumns count="35">
    <tableColumn id="1" xr3:uid="{00000000-0010-0000-1100-000001000000}" name="Folio" totalsRowLabel="Total" dataDxfId="1365" totalsRowDxfId="373"/>
    <tableColumn id="2" xr3:uid="{00000000-0010-0000-1100-000002000000}" name="RFC" dataDxfId="1364" totalsRowDxfId="372"/>
    <tableColumn id="3" xr3:uid="{00000000-0010-0000-1100-000003000000}" name="Fecha" dataDxfId="1363" totalsRowDxfId="371"/>
    <tableColumn id="4" xr3:uid="{00000000-0010-0000-1100-000004000000}" name="Empresa" dataDxfId="1362" totalsRowDxfId="370"/>
    <tableColumn id="5" xr3:uid="{00000000-0010-0000-1100-000005000000}" name="Nombre completo de quien firma (Iniciando por apellidos, nombre)" dataDxfId="1361" totalsRowDxfId="369"/>
    <tableColumn id="6" xr3:uid="{00000000-0010-0000-1100-000006000000}" name="Tipo de empresa según ambito" dataDxfId="1360" totalsRowDxfId="368"/>
    <tableColumn id="7" xr3:uid="{00000000-0010-0000-1100-000007000000}" name="Tamaño" dataDxfId="1359" totalsRowDxfId="367"/>
    <tableColumn id="8" xr3:uid="{00000000-0010-0000-1100-000008000000}" name="Sector" dataDxfId="1358" totalsRowDxfId="366"/>
    <tableColumn id="9" xr3:uid="{00000000-0010-0000-1100-000009000000}" name="Servicio" dataDxfId="1357" totalsRowDxfId="365"/>
    <tableColumn id="10" xr3:uid="{00000000-0010-0000-1100-00000A000000}" name="Estado" dataDxfId="1356" totalsRowDxfId="364"/>
    <tableColumn id="11" xr3:uid="{00000000-0010-0000-1100-00000B000000}" name="Municipio" dataDxfId="1355" totalsRowDxfId="363"/>
    <tableColumn id="12" xr3:uid="{00000000-0010-0000-1100-00000C000000}" name="Puesto que ocupa en la empresa:" dataDxfId="1354" totalsRowDxfId="362"/>
    <tableColumn id="13" xr3:uid="{00000000-0010-0000-1100-00000D000000}" name="Teléfono de contacto (y extensión)" dataDxfId="1353" totalsRowDxfId="361"/>
    <tableColumn id="14" xr3:uid="{00000000-0010-0000-1100-00000E000000}" name="Correo empresarial" dataDxfId="1352" totalsRowDxfId="360"/>
    <tableColumn id="15" xr3:uid="{00000000-0010-0000-1100-00000F000000}" name="Whatsapp" dataDxfId="1351" totalsRowDxfId="359"/>
    <tableColumn id="16" xr3:uid="{00000000-0010-0000-1100-000010000000}" name="Columna1" dataDxfId="1350" totalsRowDxfId="358"/>
    <tableColumn id="17" xr3:uid="{00000000-0010-0000-1100-000011000000}" name="Nombre completo (Iniciando por apellidos, nombre)" dataDxfId="1349" totalsRowDxfId="357"/>
    <tableColumn id="18" xr3:uid="{00000000-0010-0000-1100-000012000000}" name="Puesto que ocupa en la empresa:2" dataDxfId="1348" totalsRowDxfId="356"/>
    <tableColumn id="19" xr3:uid="{00000000-0010-0000-1100-000013000000}" name="Teléfono de contacto (y extensión)3" dataDxfId="1347" totalsRowDxfId="355"/>
    <tableColumn id="20" xr3:uid="{00000000-0010-0000-1100-000014000000}" name="Correo empresarial4" dataDxfId="1346" totalsRowDxfId="354"/>
    <tableColumn id="21" xr3:uid="{00000000-0010-0000-1100-000015000000}" name="Whatsapp5" dataDxfId="1345" totalsRowDxfId="353"/>
    <tableColumn id="22" xr3:uid="{00000000-0010-0000-1100-000016000000}" name="Columna6" dataDxfId="1344" totalsRowDxfId="352"/>
    <tableColumn id="23" xr3:uid="{00000000-0010-0000-1100-000017000000}" name="Nombre completo (Iniciando por apellidos, nombre)7" dataDxfId="1343" totalsRowDxfId="351"/>
    <tableColumn id="24" xr3:uid="{00000000-0010-0000-1100-000018000000}" name="Puesto que ocupa en la empresa:8" dataDxfId="1342" totalsRowDxfId="350"/>
    <tableColumn id="25" xr3:uid="{00000000-0010-0000-1100-000019000000}" name="Teléfono de contacto (y extensión)9" dataDxfId="1341" totalsRowDxfId="349"/>
    <tableColumn id="26" xr3:uid="{00000000-0010-0000-1100-00001A000000}" name="Correo empresarial10" dataDxfId="1340" totalsRowDxfId="348"/>
    <tableColumn id="27" xr3:uid="{00000000-0010-0000-1100-00001B000000}" name="Whatsapp11" dataDxfId="1339" totalsRowDxfId="347"/>
    <tableColumn id="28" xr3:uid="{00000000-0010-0000-1100-00001C000000}" name="Columna12" dataDxfId="1338" totalsRowDxfId="346"/>
    <tableColumn id="29" xr3:uid="{00000000-0010-0000-1100-00001D000000}" name="Nombre completo (Iniciando por apellidos, nombre)13" dataDxfId="1337" totalsRowDxfId="345"/>
    <tableColumn id="30" xr3:uid="{00000000-0010-0000-1100-00001E000000}" name="Puesto que ocupa en la empresa:14" dataDxfId="1336" totalsRowDxfId="344"/>
    <tableColumn id="31" xr3:uid="{00000000-0010-0000-1100-00001F000000}" name="Teléfono de contacto (y extensión)15" dataDxfId="1335" totalsRowDxfId="343"/>
    <tableColumn id="32" xr3:uid="{00000000-0010-0000-1100-000020000000}" name="Correo empresarial16" dataDxfId="1334" totalsRowDxfId="342"/>
    <tableColumn id="33" xr3:uid="{00000000-0010-0000-1100-000021000000}" name="Whatsapp17" dataDxfId="1333" totalsRowDxfId="341"/>
    <tableColumn id="34" xr3:uid="{00000000-0010-0000-1100-000022000000}" name="Columna18"/>
    <tableColumn id="35" xr3:uid="{00000000-0010-0000-1100-000023000000}" name="ARCHIVO" totalsRowFunction="count" dataDxfId="1332" totalsRowDxfId="34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2000000}" name="Tabla22" displayName="Tabla22" ref="A1:AI52" totalsRowCount="1" headerRowDxfId="1331" headerRowCellStyle="Bueno">
  <autoFilter ref="A1:AI51" xr:uid="{00000000-0009-0000-0100-000015000000}"/>
  <tableColumns count="35">
    <tableColumn id="1" xr3:uid="{00000000-0010-0000-1200-000001000000}" name="Folio" totalsRowLabel="Total" dataDxfId="1330" totalsRowDxfId="339"/>
    <tableColumn id="2" xr3:uid="{00000000-0010-0000-1200-000002000000}" name="RFC" dataDxfId="1329" totalsRowDxfId="338"/>
    <tableColumn id="3" xr3:uid="{00000000-0010-0000-1200-000003000000}" name="Fecha" dataDxfId="1328" totalsRowDxfId="337"/>
    <tableColumn id="4" xr3:uid="{00000000-0010-0000-1200-000004000000}" name="Empresa" dataDxfId="1327" totalsRowDxfId="336"/>
    <tableColumn id="5" xr3:uid="{00000000-0010-0000-1200-000005000000}" name="Nombre completo de quien firma (Iniciando por apellidos, nombre)" dataDxfId="1326" totalsRowDxfId="335"/>
    <tableColumn id="6" xr3:uid="{00000000-0010-0000-1200-000006000000}" name="Tipo de empresa según ambito" dataDxfId="1325" totalsRowDxfId="334"/>
    <tableColumn id="7" xr3:uid="{00000000-0010-0000-1200-000007000000}" name="Tamaño" dataDxfId="1324" totalsRowDxfId="333"/>
    <tableColumn id="8" xr3:uid="{00000000-0010-0000-1200-000008000000}" name="Sector" dataDxfId="1323" totalsRowDxfId="332"/>
    <tableColumn id="9" xr3:uid="{00000000-0010-0000-1200-000009000000}" name="Servicio" dataDxfId="1322" totalsRowDxfId="331"/>
    <tableColumn id="10" xr3:uid="{00000000-0010-0000-1200-00000A000000}" name="Estado" dataDxfId="1321" totalsRowDxfId="330"/>
    <tableColumn id="11" xr3:uid="{00000000-0010-0000-1200-00000B000000}" name="Municipio" dataDxfId="1320" totalsRowDxfId="329"/>
    <tableColumn id="12" xr3:uid="{00000000-0010-0000-1200-00000C000000}" name="Puesto que ocupa en la empresa:" dataDxfId="1319" totalsRowDxfId="328"/>
    <tableColumn id="13" xr3:uid="{00000000-0010-0000-1200-00000D000000}" name="Teléfono de contacto (y extensión)" dataDxfId="1318" totalsRowDxfId="327"/>
    <tableColumn id="14" xr3:uid="{00000000-0010-0000-1200-00000E000000}" name="Correo empresarial" dataDxfId="1317" totalsRowDxfId="326"/>
    <tableColumn id="15" xr3:uid="{00000000-0010-0000-1200-00000F000000}" name="Whatsapp" dataDxfId="1316" totalsRowDxfId="325"/>
    <tableColumn id="16" xr3:uid="{00000000-0010-0000-1200-000010000000}" name="Columna1" dataDxfId="1315" totalsRowDxfId="324"/>
    <tableColumn id="17" xr3:uid="{00000000-0010-0000-1200-000011000000}" name="Nombre completo (Iniciando por apellidos, nombre)" dataDxfId="1314" totalsRowDxfId="323"/>
    <tableColumn id="18" xr3:uid="{00000000-0010-0000-1200-000012000000}" name="Puesto que ocupa en la empresa:2" dataDxfId="1313" totalsRowDxfId="322"/>
    <tableColumn id="19" xr3:uid="{00000000-0010-0000-1200-000013000000}" name="Teléfono de contacto (y extensión)3" dataDxfId="1312" totalsRowDxfId="321"/>
    <tableColumn id="20" xr3:uid="{00000000-0010-0000-1200-000014000000}" name="Correo empresarial4" dataDxfId="1311" totalsRowDxfId="320"/>
    <tableColumn id="21" xr3:uid="{00000000-0010-0000-1200-000015000000}" name="Whatsapp5" dataDxfId="1310" totalsRowDxfId="319"/>
    <tableColumn id="22" xr3:uid="{00000000-0010-0000-1200-000016000000}" name="Columna6" dataDxfId="1309" totalsRowDxfId="318"/>
    <tableColumn id="23" xr3:uid="{00000000-0010-0000-1200-000017000000}" name="Nombre completo (Iniciando por apellidos, nombre)7" dataDxfId="1308" totalsRowDxfId="317"/>
    <tableColumn id="24" xr3:uid="{00000000-0010-0000-1200-000018000000}" name="Puesto que ocupa en la empresa:8" dataDxfId="1307" totalsRowDxfId="316"/>
    <tableColumn id="25" xr3:uid="{00000000-0010-0000-1200-000019000000}" name="Teléfono de contacto (y extensión)9" dataDxfId="1306" totalsRowDxfId="315"/>
    <tableColumn id="26" xr3:uid="{00000000-0010-0000-1200-00001A000000}" name="Correo empresarial10" dataDxfId="1305" totalsRowDxfId="314"/>
    <tableColumn id="27" xr3:uid="{00000000-0010-0000-1200-00001B000000}" name="Whatsapp11" dataDxfId="1304" totalsRowDxfId="313"/>
    <tableColumn id="28" xr3:uid="{00000000-0010-0000-1200-00001C000000}" name="Columna12" dataDxfId="1303" totalsRowDxfId="312"/>
    <tableColumn id="29" xr3:uid="{00000000-0010-0000-1200-00001D000000}" name="Nombre completo (Iniciando por apellidos, nombre)13" dataDxfId="1302" totalsRowDxfId="311"/>
    <tableColumn id="30" xr3:uid="{00000000-0010-0000-1200-00001E000000}" name="Puesto que ocupa en la empresa:14" dataDxfId="1301" totalsRowDxfId="310"/>
    <tableColumn id="31" xr3:uid="{00000000-0010-0000-1200-00001F000000}" name="Teléfono de contacto (y extensión)15" dataDxfId="1300" totalsRowDxfId="309"/>
    <tableColumn id="32" xr3:uid="{00000000-0010-0000-1200-000020000000}" name="Correo empresarial16" dataDxfId="1299" totalsRowDxfId="308"/>
    <tableColumn id="33" xr3:uid="{00000000-0010-0000-1200-000021000000}" name="Whatsapp17" dataDxfId="1298" totalsRowDxfId="307"/>
    <tableColumn id="34" xr3:uid="{00000000-0010-0000-1200-000022000000}" name="Columna18"/>
    <tableColumn id="35" xr3:uid="{00000000-0010-0000-1200-000023000000}" name="ARCHIVO" totalsRowFunction="count" dataDxfId="1297" totalsRowDxfId="30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a23" displayName="Tabla23" ref="A1:AI52" totalsRowCount="1" headerRowDxfId="1296" headerRowCellStyle="Bueno">
  <autoFilter ref="A1:AI51" xr:uid="{00000000-0009-0000-0100-000016000000}"/>
  <tableColumns count="35">
    <tableColumn id="1" xr3:uid="{00000000-0010-0000-1300-000001000000}" name="Folio" totalsRowLabel="Total" dataDxfId="1295" totalsRowDxfId="305"/>
    <tableColumn id="2" xr3:uid="{00000000-0010-0000-1300-000002000000}" name="RFC" dataDxfId="1294" totalsRowDxfId="304"/>
    <tableColumn id="3" xr3:uid="{00000000-0010-0000-1300-000003000000}" name="Fecha" dataDxfId="1293" totalsRowDxfId="303"/>
    <tableColumn id="4" xr3:uid="{00000000-0010-0000-1300-000004000000}" name="Empresa" dataDxfId="1292" totalsRowDxfId="302"/>
    <tableColumn id="5" xr3:uid="{00000000-0010-0000-1300-000005000000}" name="Nombre completo de quien firma (Iniciando por apellidos, nombre)" dataDxfId="1291" totalsRowDxfId="301"/>
    <tableColumn id="6" xr3:uid="{00000000-0010-0000-1300-000006000000}" name="Tipo de empresa según ambito" dataDxfId="1290" totalsRowDxfId="300"/>
    <tableColumn id="7" xr3:uid="{00000000-0010-0000-1300-000007000000}" name="Tamaño" dataDxfId="1289" totalsRowDxfId="299"/>
    <tableColumn id="8" xr3:uid="{00000000-0010-0000-1300-000008000000}" name="Sector" dataDxfId="1288" totalsRowDxfId="298"/>
    <tableColumn id="9" xr3:uid="{00000000-0010-0000-1300-000009000000}" name="Servicio" dataDxfId="1287" totalsRowDxfId="297"/>
    <tableColumn id="10" xr3:uid="{00000000-0010-0000-1300-00000A000000}" name="Estado" dataDxfId="1286" totalsRowDxfId="296"/>
    <tableColumn id="11" xr3:uid="{00000000-0010-0000-1300-00000B000000}" name="Municipio" dataDxfId="1285" totalsRowDxfId="295"/>
    <tableColumn id="12" xr3:uid="{00000000-0010-0000-1300-00000C000000}" name="Puesto que ocupa en la empresa:" dataDxfId="1284" totalsRowDxfId="294"/>
    <tableColumn id="13" xr3:uid="{00000000-0010-0000-1300-00000D000000}" name="Teléfono de contacto (y extensión)" dataDxfId="1283" totalsRowDxfId="293"/>
    <tableColumn id="14" xr3:uid="{00000000-0010-0000-1300-00000E000000}" name="Correo empresarial" dataDxfId="1282" totalsRowDxfId="292"/>
    <tableColumn id="15" xr3:uid="{00000000-0010-0000-1300-00000F000000}" name="Whatsapp" dataDxfId="1281" totalsRowDxfId="291"/>
    <tableColumn id="16" xr3:uid="{00000000-0010-0000-1300-000010000000}" name="Columna1" dataDxfId="1280" totalsRowDxfId="290"/>
    <tableColumn id="17" xr3:uid="{00000000-0010-0000-1300-000011000000}" name="Nombre completo (Iniciando por apellidos, nombre)" dataDxfId="1279" totalsRowDxfId="289"/>
    <tableColumn id="18" xr3:uid="{00000000-0010-0000-1300-000012000000}" name="Puesto que ocupa en la empresa:2" dataDxfId="1278" totalsRowDxfId="288"/>
    <tableColumn id="19" xr3:uid="{00000000-0010-0000-1300-000013000000}" name="Teléfono de contacto (y extensión)3" dataDxfId="1277" totalsRowDxfId="287"/>
    <tableColumn id="20" xr3:uid="{00000000-0010-0000-1300-000014000000}" name="Correo empresarial4" dataDxfId="1276" totalsRowDxfId="286"/>
    <tableColumn id="21" xr3:uid="{00000000-0010-0000-1300-000015000000}" name="Whatsapp5" dataDxfId="1275" totalsRowDxfId="285"/>
    <tableColumn id="22" xr3:uid="{00000000-0010-0000-1300-000016000000}" name="Columna6" dataDxfId="1274" totalsRowDxfId="284"/>
    <tableColumn id="23" xr3:uid="{00000000-0010-0000-1300-000017000000}" name="Nombre completo (Iniciando por apellidos, nombre)7" dataDxfId="1273" totalsRowDxfId="283"/>
    <tableColumn id="24" xr3:uid="{00000000-0010-0000-1300-000018000000}" name="Puesto que ocupa en la empresa:8" dataDxfId="1272" totalsRowDxfId="282"/>
    <tableColumn id="25" xr3:uid="{00000000-0010-0000-1300-000019000000}" name="Teléfono de contacto (y extensión)9" dataDxfId="1271" totalsRowDxfId="281"/>
    <tableColumn id="26" xr3:uid="{00000000-0010-0000-1300-00001A000000}" name="Correo empresarial10" dataDxfId="1270" totalsRowDxfId="280"/>
    <tableColumn id="27" xr3:uid="{00000000-0010-0000-1300-00001B000000}" name="Whatsapp11" dataDxfId="1269" totalsRowDxfId="279"/>
    <tableColumn id="28" xr3:uid="{00000000-0010-0000-1300-00001C000000}" name="Columna12" dataDxfId="1268" totalsRowDxfId="278"/>
    <tableColumn id="29" xr3:uid="{00000000-0010-0000-1300-00001D000000}" name="Nombre completo (Iniciando por apellidos, nombre)13" dataDxfId="1267" totalsRowDxfId="277"/>
    <tableColumn id="30" xr3:uid="{00000000-0010-0000-1300-00001E000000}" name="Puesto que ocupa en la empresa:14" dataDxfId="1266" totalsRowDxfId="276"/>
    <tableColumn id="31" xr3:uid="{00000000-0010-0000-1300-00001F000000}" name="Teléfono de contacto (y extensión)15" dataDxfId="1265" totalsRowDxfId="275"/>
    <tableColumn id="32" xr3:uid="{00000000-0010-0000-1300-000020000000}" name="Correo empresarial16" dataDxfId="1264" totalsRowDxfId="274"/>
    <tableColumn id="33" xr3:uid="{00000000-0010-0000-1300-000021000000}" name="Whatsapp17" dataDxfId="1263" totalsRowDxfId="273"/>
    <tableColumn id="34" xr3:uid="{00000000-0010-0000-1300-000022000000}" name="Columna18"/>
    <tableColumn id="35" xr3:uid="{00000000-0010-0000-1300-000023000000}" name="ARCHIVO" totalsRowFunction="count" dataDxfId="1262" totalsRowDxfId="27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4000000}" name="Tabla24" displayName="Tabla24" ref="A1:AI52" totalsRowCount="1" headerRowDxfId="1261" headerRowCellStyle="Bueno">
  <autoFilter ref="A1:AI51" xr:uid="{00000000-0009-0000-0100-000017000000}"/>
  <tableColumns count="35">
    <tableColumn id="1" xr3:uid="{00000000-0010-0000-1400-000001000000}" name="Folio" totalsRowLabel="Total" dataDxfId="1260" totalsRowDxfId="271"/>
    <tableColumn id="2" xr3:uid="{00000000-0010-0000-1400-000002000000}" name="RFC" dataDxfId="1259" totalsRowDxfId="270"/>
    <tableColumn id="3" xr3:uid="{00000000-0010-0000-1400-000003000000}" name="Fecha" dataDxfId="1258" totalsRowDxfId="269"/>
    <tableColumn id="4" xr3:uid="{00000000-0010-0000-1400-000004000000}" name="Empresa" dataDxfId="1257" totalsRowDxfId="268"/>
    <tableColumn id="5" xr3:uid="{00000000-0010-0000-1400-000005000000}" name="Nombre completo de quien firma (Iniciando por apellidos, nombre)" dataDxfId="1256" totalsRowDxfId="267"/>
    <tableColumn id="6" xr3:uid="{00000000-0010-0000-1400-000006000000}" name="Tipo de empresa según ambito" dataDxfId="1255" totalsRowDxfId="266"/>
    <tableColumn id="7" xr3:uid="{00000000-0010-0000-1400-000007000000}" name="Tamaño" dataDxfId="1254" totalsRowDxfId="265"/>
    <tableColumn id="8" xr3:uid="{00000000-0010-0000-1400-000008000000}" name="Sector" dataDxfId="1253" totalsRowDxfId="264"/>
    <tableColumn id="9" xr3:uid="{00000000-0010-0000-1400-000009000000}" name="Servicio" dataDxfId="1252" totalsRowDxfId="263"/>
    <tableColumn id="10" xr3:uid="{00000000-0010-0000-1400-00000A000000}" name="Estado" dataDxfId="1251" totalsRowDxfId="262"/>
    <tableColumn id="11" xr3:uid="{00000000-0010-0000-1400-00000B000000}" name="Municipio" dataDxfId="1250" totalsRowDxfId="261"/>
    <tableColumn id="12" xr3:uid="{00000000-0010-0000-1400-00000C000000}" name="Puesto que ocupa en la empresa:" dataDxfId="1249" totalsRowDxfId="260"/>
    <tableColumn id="13" xr3:uid="{00000000-0010-0000-1400-00000D000000}" name="Teléfono de contacto (y extensión)" dataDxfId="1248" totalsRowDxfId="259"/>
    <tableColumn id="14" xr3:uid="{00000000-0010-0000-1400-00000E000000}" name="Correo empresarial" dataDxfId="1247" totalsRowDxfId="258"/>
    <tableColumn id="15" xr3:uid="{00000000-0010-0000-1400-00000F000000}" name="Whatsapp" dataDxfId="1246" totalsRowDxfId="257"/>
    <tableColumn id="16" xr3:uid="{00000000-0010-0000-1400-000010000000}" name="Columna1" dataDxfId="1245" totalsRowDxfId="256"/>
    <tableColumn id="17" xr3:uid="{00000000-0010-0000-1400-000011000000}" name="Nombre completo (Iniciando por apellidos, nombre)" dataDxfId="1244" totalsRowDxfId="255"/>
    <tableColumn id="18" xr3:uid="{00000000-0010-0000-1400-000012000000}" name="Puesto que ocupa en la empresa:2" dataDxfId="1243" totalsRowDxfId="254"/>
    <tableColumn id="19" xr3:uid="{00000000-0010-0000-1400-000013000000}" name="Teléfono de contacto (y extensión)3" dataDxfId="1242" totalsRowDxfId="253"/>
    <tableColumn id="20" xr3:uid="{00000000-0010-0000-1400-000014000000}" name="Correo empresarial4" dataDxfId="1241" totalsRowDxfId="252"/>
    <tableColumn id="21" xr3:uid="{00000000-0010-0000-1400-000015000000}" name="Whatsapp5" dataDxfId="1240" totalsRowDxfId="251"/>
    <tableColumn id="22" xr3:uid="{00000000-0010-0000-1400-000016000000}" name="Columna6" dataDxfId="1239" totalsRowDxfId="250"/>
    <tableColumn id="23" xr3:uid="{00000000-0010-0000-1400-000017000000}" name="Nombre completo (Iniciando por apellidos, nombre)7" dataDxfId="1238" totalsRowDxfId="249"/>
    <tableColumn id="24" xr3:uid="{00000000-0010-0000-1400-000018000000}" name="Puesto que ocupa en la empresa:8" dataDxfId="1237" totalsRowDxfId="248"/>
    <tableColumn id="25" xr3:uid="{00000000-0010-0000-1400-000019000000}" name="Teléfono de contacto (y extensión)9" dataDxfId="1236" totalsRowDxfId="247"/>
    <tableColumn id="26" xr3:uid="{00000000-0010-0000-1400-00001A000000}" name="Correo empresarial10" dataDxfId="1235" totalsRowDxfId="246"/>
    <tableColumn id="27" xr3:uid="{00000000-0010-0000-1400-00001B000000}" name="Whatsapp11" dataDxfId="1234" totalsRowDxfId="245"/>
    <tableColumn id="28" xr3:uid="{00000000-0010-0000-1400-00001C000000}" name="Columna12" dataDxfId="1233" totalsRowDxfId="244"/>
    <tableColumn id="29" xr3:uid="{00000000-0010-0000-1400-00001D000000}" name="Nombre completo (Iniciando por apellidos, nombre)13" dataDxfId="1232" totalsRowDxfId="243"/>
    <tableColumn id="30" xr3:uid="{00000000-0010-0000-1400-00001E000000}" name="Puesto que ocupa en la empresa:14" dataDxfId="1231" totalsRowDxfId="242"/>
    <tableColumn id="31" xr3:uid="{00000000-0010-0000-1400-00001F000000}" name="Teléfono de contacto (y extensión)15" dataDxfId="1230" totalsRowDxfId="241"/>
    <tableColumn id="32" xr3:uid="{00000000-0010-0000-1400-000020000000}" name="Correo empresarial16" dataDxfId="1229" totalsRowDxfId="240"/>
    <tableColumn id="33" xr3:uid="{00000000-0010-0000-1400-000021000000}" name="Whatsapp17" dataDxfId="1228" totalsRowDxfId="239"/>
    <tableColumn id="34" xr3:uid="{00000000-0010-0000-1400-000022000000}" name="Columna18"/>
    <tableColumn id="35" xr3:uid="{00000000-0010-0000-1400-000023000000}" name="ARCHIVO" totalsRowFunction="count" dataDxfId="1227" totalsRowDxfId="23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5000000}" name="Tabla25" displayName="Tabla25" ref="A1:AI52" totalsRowCount="1" headerRowDxfId="1226" headerRowCellStyle="Bueno">
  <autoFilter ref="A1:AI51" xr:uid="{00000000-0009-0000-0100-000018000000}"/>
  <tableColumns count="35">
    <tableColumn id="1" xr3:uid="{00000000-0010-0000-1500-000001000000}" name="Folio" totalsRowLabel="Total" dataDxfId="1225" totalsRowDxfId="237"/>
    <tableColumn id="2" xr3:uid="{00000000-0010-0000-1500-000002000000}" name="RFC" dataDxfId="1224" totalsRowDxfId="236"/>
    <tableColumn id="3" xr3:uid="{00000000-0010-0000-1500-000003000000}" name="Fecha" dataDxfId="1223" totalsRowDxfId="235"/>
    <tableColumn id="4" xr3:uid="{00000000-0010-0000-1500-000004000000}" name="Empresa" dataDxfId="1222" totalsRowDxfId="234"/>
    <tableColumn id="5" xr3:uid="{00000000-0010-0000-1500-000005000000}" name="Nombre completo de quien firma (Iniciando por apellidos, nombre)" dataDxfId="1221" totalsRowDxfId="233"/>
    <tableColumn id="6" xr3:uid="{00000000-0010-0000-1500-000006000000}" name="Tipo de empresa según ambito" dataDxfId="1220" totalsRowDxfId="232"/>
    <tableColumn id="7" xr3:uid="{00000000-0010-0000-1500-000007000000}" name="Tamaño" dataDxfId="1219" totalsRowDxfId="231"/>
    <tableColumn id="8" xr3:uid="{00000000-0010-0000-1500-000008000000}" name="Sector" dataDxfId="1218" totalsRowDxfId="230"/>
    <tableColumn id="9" xr3:uid="{00000000-0010-0000-1500-000009000000}" name="Servicio" dataDxfId="1217" totalsRowDxfId="229"/>
    <tableColumn id="10" xr3:uid="{00000000-0010-0000-1500-00000A000000}" name="Estado" dataDxfId="1216" totalsRowDxfId="228"/>
    <tableColumn id="11" xr3:uid="{00000000-0010-0000-1500-00000B000000}" name="Municipio" dataDxfId="1215" totalsRowDxfId="227"/>
    <tableColumn id="12" xr3:uid="{00000000-0010-0000-1500-00000C000000}" name="Puesto que ocupa en la empresa:" dataDxfId="1214" totalsRowDxfId="226"/>
    <tableColumn id="13" xr3:uid="{00000000-0010-0000-1500-00000D000000}" name="Teléfono de contacto (y extensión)" dataDxfId="1213" totalsRowDxfId="225"/>
    <tableColumn id="14" xr3:uid="{00000000-0010-0000-1500-00000E000000}" name="Correo empresarial" dataDxfId="1212" totalsRowDxfId="224"/>
    <tableColumn id="15" xr3:uid="{00000000-0010-0000-1500-00000F000000}" name="Whatsapp" dataDxfId="1211" totalsRowDxfId="223"/>
    <tableColumn id="16" xr3:uid="{00000000-0010-0000-1500-000010000000}" name="Columna1" dataDxfId="1210" totalsRowDxfId="222"/>
    <tableColumn id="17" xr3:uid="{00000000-0010-0000-1500-000011000000}" name="Nombre completo (Iniciando por apellidos, nombre)" dataDxfId="1209" totalsRowDxfId="221"/>
    <tableColumn id="18" xr3:uid="{00000000-0010-0000-1500-000012000000}" name="Puesto que ocupa en la empresa:2" dataDxfId="1208" totalsRowDxfId="220"/>
    <tableColumn id="19" xr3:uid="{00000000-0010-0000-1500-000013000000}" name="Teléfono de contacto (y extensión)3" dataDxfId="1207" totalsRowDxfId="219"/>
    <tableColumn id="20" xr3:uid="{00000000-0010-0000-1500-000014000000}" name="Correo empresarial4" dataDxfId="1206" totalsRowDxfId="218"/>
    <tableColumn id="21" xr3:uid="{00000000-0010-0000-1500-000015000000}" name="Whatsapp5" dataDxfId="1205" totalsRowDxfId="217"/>
    <tableColumn id="22" xr3:uid="{00000000-0010-0000-1500-000016000000}" name="Columna6" dataDxfId="1204" totalsRowDxfId="216"/>
    <tableColumn id="23" xr3:uid="{00000000-0010-0000-1500-000017000000}" name="Nombre completo (Iniciando por apellidos, nombre)7" dataDxfId="1203" totalsRowDxfId="215"/>
    <tableColumn id="24" xr3:uid="{00000000-0010-0000-1500-000018000000}" name="Puesto que ocupa en la empresa:8" dataDxfId="1202" totalsRowDxfId="214"/>
    <tableColumn id="25" xr3:uid="{00000000-0010-0000-1500-000019000000}" name="Teléfono de contacto (y extensión)9" dataDxfId="1201" totalsRowDxfId="213"/>
    <tableColumn id="26" xr3:uid="{00000000-0010-0000-1500-00001A000000}" name="Correo empresarial10" dataDxfId="1200" totalsRowDxfId="212"/>
    <tableColumn id="27" xr3:uid="{00000000-0010-0000-1500-00001B000000}" name="Whatsapp11" dataDxfId="1199" totalsRowDxfId="211"/>
    <tableColumn id="28" xr3:uid="{00000000-0010-0000-1500-00001C000000}" name="Columna12" dataDxfId="1198" totalsRowDxfId="210"/>
    <tableColumn id="29" xr3:uid="{00000000-0010-0000-1500-00001D000000}" name="Nombre completo (Iniciando por apellidos, nombre)13" dataDxfId="1197" totalsRowDxfId="209"/>
    <tableColumn id="30" xr3:uid="{00000000-0010-0000-1500-00001E000000}" name="Puesto que ocupa en la empresa:14" dataDxfId="1196" totalsRowDxfId="208"/>
    <tableColumn id="31" xr3:uid="{00000000-0010-0000-1500-00001F000000}" name="Teléfono de contacto (y extensión)15" dataDxfId="1195" totalsRowDxfId="207"/>
    <tableColumn id="32" xr3:uid="{00000000-0010-0000-1500-000020000000}" name="Correo empresarial16" dataDxfId="1194" totalsRowDxfId="206"/>
    <tableColumn id="33" xr3:uid="{00000000-0010-0000-1500-000021000000}" name="Whatsapp17" dataDxfId="1193" totalsRowDxfId="205"/>
    <tableColumn id="34" xr3:uid="{00000000-0010-0000-1500-000022000000}" name="Columna18"/>
    <tableColumn id="35" xr3:uid="{00000000-0010-0000-1500-000023000000}" name="ARCHIVO" totalsRowFunction="count" dataDxfId="1192" totalsRowDxfId="204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6000000}" name="Tabla26" displayName="Tabla26" ref="A1:AI52" totalsRowCount="1" headerRowDxfId="1191" headerRowCellStyle="Bueno">
  <autoFilter ref="A1:AI51" xr:uid="{00000000-0009-0000-0100-000019000000}"/>
  <tableColumns count="35">
    <tableColumn id="1" xr3:uid="{00000000-0010-0000-1600-000001000000}" name="Folio" totalsRowLabel="Total" dataDxfId="1190" totalsRowDxfId="203"/>
    <tableColumn id="2" xr3:uid="{00000000-0010-0000-1600-000002000000}" name="RFC" dataDxfId="1189" totalsRowDxfId="202"/>
    <tableColumn id="3" xr3:uid="{00000000-0010-0000-1600-000003000000}" name="Fecha" dataDxfId="1188" totalsRowDxfId="201"/>
    <tableColumn id="4" xr3:uid="{00000000-0010-0000-1600-000004000000}" name="Empresa" dataDxfId="1187" totalsRowDxfId="200"/>
    <tableColumn id="5" xr3:uid="{00000000-0010-0000-1600-000005000000}" name="Nombre completo de quien firma (Iniciando por apellidos, nombre)" dataDxfId="1186" totalsRowDxfId="199"/>
    <tableColumn id="6" xr3:uid="{00000000-0010-0000-1600-000006000000}" name="Tipo de empresa según ambito" dataDxfId="1185" totalsRowDxfId="198"/>
    <tableColumn id="7" xr3:uid="{00000000-0010-0000-1600-000007000000}" name="Tamaño" dataDxfId="1184" totalsRowDxfId="197"/>
    <tableColumn id="8" xr3:uid="{00000000-0010-0000-1600-000008000000}" name="Sector" dataDxfId="1183" totalsRowDxfId="196"/>
    <tableColumn id="9" xr3:uid="{00000000-0010-0000-1600-000009000000}" name="Servicio" dataDxfId="1182" totalsRowDxfId="195"/>
    <tableColumn id="10" xr3:uid="{00000000-0010-0000-1600-00000A000000}" name="Estado" dataDxfId="1181" totalsRowDxfId="194"/>
    <tableColumn id="11" xr3:uid="{00000000-0010-0000-1600-00000B000000}" name="Municipio" dataDxfId="1180" totalsRowDxfId="193"/>
    <tableColumn id="12" xr3:uid="{00000000-0010-0000-1600-00000C000000}" name="Puesto que ocupa en la empresa:" dataDxfId="1179" totalsRowDxfId="192"/>
    <tableColumn id="13" xr3:uid="{00000000-0010-0000-1600-00000D000000}" name="Teléfono de contacto (y extensión)" dataDxfId="1178" totalsRowDxfId="191"/>
    <tableColumn id="14" xr3:uid="{00000000-0010-0000-1600-00000E000000}" name="Correo empresarial" dataDxfId="1177" totalsRowDxfId="190"/>
    <tableColumn id="15" xr3:uid="{00000000-0010-0000-1600-00000F000000}" name="Whatsapp" dataDxfId="1176" totalsRowDxfId="189"/>
    <tableColumn id="16" xr3:uid="{00000000-0010-0000-1600-000010000000}" name="Columna1" dataDxfId="1175" totalsRowDxfId="188"/>
    <tableColumn id="17" xr3:uid="{00000000-0010-0000-1600-000011000000}" name="Nombre completo (Iniciando por apellidos, nombre)" dataDxfId="1174" totalsRowDxfId="187"/>
    <tableColumn id="18" xr3:uid="{00000000-0010-0000-1600-000012000000}" name="Puesto que ocupa en la empresa:2" dataDxfId="1173" totalsRowDxfId="186"/>
    <tableColumn id="19" xr3:uid="{00000000-0010-0000-1600-000013000000}" name="Teléfono de contacto (y extensión)3" dataDxfId="1172" totalsRowDxfId="185"/>
    <tableColumn id="20" xr3:uid="{00000000-0010-0000-1600-000014000000}" name="Correo empresarial4" dataDxfId="1171" totalsRowDxfId="184"/>
    <tableColumn id="21" xr3:uid="{00000000-0010-0000-1600-000015000000}" name="Whatsapp5" dataDxfId="1170" totalsRowDxfId="183"/>
    <tableColumn id="22" xr3:uid="{00000000-0010-0000-1600-000016000000}" name="Columna6" dataDxfId="1169" totalsRowDxfId="182"/>
    <tableColumn id="23" xr3:uid="{00000000-0010-0000-1600-000017000000}" name="Nombre completo (Iniciando por apellidos, nombre)7" dataDxfId="1168" totalsRowDxfId="181"/>
    <tableColumn id="24" xr3:uid="{00000000-0010-0000-1600-000018000000}" name="Puesto que ocupa en la empresa:8" dataDxfId="1167" totalsRowDxfId="180"/>
    <tableColumn id="25" xr3:uid="{00000000-0010-0000-1600-000019000000}" name="Teléfono de contacto (y extensión)9" dataDxfId="1166" totalsRowDxfId="179"/>
    <tableColumn id="26" xr3:uid="{00000000-0010-0000-1600-00001A000000}" name="Correo empresarial10" dataDxfId="1165" totalsRowDxfId="178"/>
    <tableColumn id="27" xr3:uid="{00000000-0010-0000-1600-00001B000000}" name="Whatsapp11" dataDxfId="1164" totalsRowDxfId="177"/>
    <tableColumn id="28" xr3:uid="{00000000-0010-0000-1600-00001C000000}" name="Columna12" dataDxfId="1163" totalsRowDxfId="176"/>
    <tableColumn id="29" xr3:uid="{00000000-0010-0000-1600-00001D000000}" name="Nombre completo (Iniciando por apellidos, nombre)13" dataDxfId="1162" totalsRowDxfId="175"/>
    <tableColumn id="30" xr3:uid="{00000000-0010-0000-1600-00001E000000}" name="Puesto que ocupa en la empresa:14" dataDxfId="1161" totalsRowDxfId="174"/>
    <tableColumn id="31" xr3:uid="{00000000-0010-0000-1600-00001F000000}" name="Teléfono de contacto (y extensión)15" dataDxfId="1160" totalsRowDxfId="173"/>
    <tableColumn id="32" xr3:uid="{00000000-0010-0000-1600-000020000000}" name="Correo empresarial16" dataDxfId="1159" totalsRowDxfId="172"/>
    <tableColumn id="33" xr3:uid="{00000000-0010-0000-1600-000021000000}" name="Whatsapp17" dataDxfId="1158" totalsRowDxfId="171"/>
    <tableColumn id="34" xr3:uid="{00000000-0010-0000-1600-000022000000}" name="Columna18"/>
    <tableColumn id="35" xr3:uid="{00000000-0010-0000-1600-000023000000}" name="ARCHIVO" totalsRowFunction="count" dataDxfId="1157" totalsRowDxfId="17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7000000}" name="Tabla27" displayName="Tabla27" ref="A1:AI52" totalsRowCount="1" headerRowDxfId="1156" headerRowCellStyle="Bueno">
  <autoFilter ref="A1:AI51" xr:uid="{00000000-0009-0000-0100-00001A000000}"/>
  <tableColumns count="35">
    <tableColumn id="1" xr3:uid="{00000000-0010-0000-1700-000001000000}" name="Folio" totalsRowLabel="Total" dataDxfId="1155" totalsRowDxfId="169"/>
    <tableColumn id="2" xr3:uid="{00000000-0010-0000-1700-000002000000}" name="RFC" dataDxfId="1154" totalsRowDxfId="168"/>
    <tableColumn id="3" xr3:uid="{00000000-0010-0000-1700-000003000000}" name="Fecha" dataDxfId="1153" totalsRowDxfId="167"/>
    <tableColumn id="4" xr3:uid="{00000000-0010-0000-1700-000004000000}" name="Empresa" dataDxfId="1152" totalsRowDxfId="166"/>
    <tableColumn id="5" xr3:uid="{00000000-0010-0000-1700-000005000000}" name="Nombre completo de quien firma (Iniciando por apellidos, nombre)" dataDxfId="1151" totalsRowDxfId="165"/>
    <tableColumn id="6" xr3:uid="{00000000-0010-0000-1700-000006000000}" name="Tipo de empresa según ambito" dataDxfId="1150" totalsRowDxfId="164"/>
    <tableColumn id="7" xr3:uid="{00000000-0010-0000-1700-000007000000}" name="Tamaño" dataDxfId="1149" totalsRowDxfId="163"/>
    <tableColumn id="8" xr3:uid="{00000000-0010-0000-1700-000008000000}" name="Sector" dataDxfId="1148" totalsRowDxfId="162"/>
    <tableColumn id="9" xr3:uid="{00000000-0010-0000-1700-000009000000}" name="Servicio" dataDxfId="1147" totalsRowDxfId="161"/>
    <tableColumn id="10" xr3:uid="{00000000-0010-0000-1700-00000A000000}" name="Estado" dataDxfId="1146" totalsRowDxfId="160"/>
    <tableColumn id="11" xr3:uid="{00000000-0010-0000-1700-00000B000000}" name="Municipio" dataDxfId="1145" totalsRowDxfId="159"/>
    <tableColumn id="12" xr3:uid="{00000000-0010-0000-1700-00000C000000}" name="Puesto que ocupa en la empresa:" dataDxfId="1144" totalsRowDxfId="158"/>
    <tableColumn id="13" xr3:uid="{00000000-0010-0000-1700-00000D000000}" name="Teléfono de contacto (y extensión)" dataDxfId="1143" totalsRowDxfId="157"/>
    <tableColumn id="14" xr3:uid="{00000000-0010-0000-1700-00000E000000}" name="Correo empresarial" dataDxfId="1142" totalsRowDxfId="156"/>
    <tableColumn id="15" xr3:uid="{00000000-0010-0000-1700-00000F000000}" name="Whatsapp" dataDxfId="1141" totalsRowDxfId="155"/>
    <tableColumn id="16" xr3:uid="{00000000-0010-0000-1700-000010000000}" name="Columna1" dataDxfId="1140" totalsRowDxfId="154"/>
    <tableColumn id="17" xr3:uid="{00000000-0010-0000-1700-000011000000}" name="Nombre completo (Iniciando por apellidos, nombre)" dataDxfId="1139" totalsRowDxfId="153"/>
    <tableColumn id="18" xr3:uid="{00000000-0010-0000-1700-000012000000}" name="Puesto que ocupa en la empresa:2" dataDxfId="1138" totalsRowDxfId="152"/>
    <tableColumn id="19" xr3:uid="{00000000-0010-0000-1700-000013000000}" name="Teléfono de contacto (y extensión)3" dataDxfId="1137" totalsRowDxfId="151"/>
    <tableColumn id="20" xr3:uid="{00000000-0010-0000-1700-000014000000}" name="Correo empresarial4" dataDxfId="1136" totalsRowDxfId="150"/>
    <tableColumn id="21" xr3:uid="{00000000-0010-0000-1700-000015000000}" name="Whatsapp5" dataDxfId="1135" totalsRowDxfId="149"/>
    <tableColumn id="22" xr3:uid="{00000000-0010-0000-1700-000016000000}" name="Columna6" dataDxfId="1134" totalsRowDxfId="148"/>
    <tableColumn id="23" xr3:uid="{00000000-0010-0000-1700-000017000000}" name="Nombre completo (Iniciando por apellidos, nombre)7" dataDxfId="1133" totalsRowDxfId="147"/>
    <tableColumn id="24" xr3:uid="{00000000-0010-0000-1700-000018000000}" name="Puesto que ocupa en la empresa:8" dataDxfId="1132" totalsRowDxfId="146"/>
    <tableColumn id="25" xr3:uid="{00000000-0010-0000-1700-000019000000}" name="Teléfono de contacto (y extensión)9" dataDxfId="1131" totalsRowDxfId="145"/>
    <tableColumn id="26" xr3:uid="{00000000-0010-0000-1700-00001A000000}" name="Correo empresarial10" dataDxfId="1130" totalsRowDxfId="144"/>
    <tableColumn id="27" xr3:uid="{00000000-0010-0000-1700-00001B000000}" name="Whatsapp11" dataDxfId="1129" totalsRowDxfId="143"/>
    <tableColumn id="28" xr3:uid="{00000000-0010-0000-1700-00001C000000}" name="Columna12" dataDxfId="1128" totalsRowDxfId="142"/>
    <tableColumn id="29" xr3:uid="{00000000-0010-0000-1700-00001D000000}" name="Nombre completo (Iniciando por apellidos, nombre)13" dataDxfId="1127" totalsRowDxfId="141"/>
    <tableColumn id="30" xr3:uid="{00000000-0010-0000-1700-00001E000000}" name="Puesto que ocupa en la empresa:14" dataDxfId="1126" totalsRowDxfId="140"/>
    <tableColumn id="31" xr3:uid="{00000000-0010-0000-1700-00001F000000}" name="Teléfono de contacto (y extensión)15" dataDxfId="1125" totalsRowDxfId="139"/>
    <tableColumn id="32" xr3:uid="{00000000-0010-0000-1700-000020000000}" name="Correo empresarial16" dataDxfId="1124" totalsRowDxfId="138"/>
    <tableColumn id="33" xr3:uid="{00000000-0010-0000-1700-000021000000}" name="Whatsapp17" dataDxfId="1123" totalsRowDxfId="137"/>
    <tableColumn id="34" xr3:uid="{00000000-0010-0000-1700-000022000000}" name="Columna18"/>
    <tableColumn id="35" xr3:uid="{00000000-0010-0000-1700-000023000000}" name="ARCHIVO" totalsRowFunction="count" dataDxfId="1122" totalsRowDxfId="13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8000000}" name="Tabla28" displayName="Tabla28" ref="A1:AI52" totalsRowCount="1" headerRowDxfId="1121" headerRowCellStyle="Bueno">
  <autoFilter ref="A1:AI51" xr:uid="{00000000-0009-0000-0100-00001B000000}"/>
  <tableColumns count="35">
    <tableColumn id="1" xr3:uid="{00000000-0010-0000-1800-000001000000}" name="Folio" totalsRowLabel="Total" dataDxfId="1120" totalsRowDxfId="135"/>
    <tableColumn id="2" xr3:uid="{00000000-0010-0000-1800-000002000000}" name="RFC" dataDxfId="1119" totalsRowDxfId="134"/>
    <tableColumn id="3" xr3:uid="{00000000-0010-0000-1800-000003000000}" name="Fecha" dataDxfId="1118" totalsRowDxfId="133"/>
    <tableColumn id="4" xr3:uid="{00000000-0010-0000-1800-000004000000}" name="Empresa" dataDxfId="1117" totalsRowDxfId="132"/>
    <tableColumn id="5" xr3:uid="{00000000-0010-0000-1800-000005000000}" name="Nombre completo de quien firma (Iniciando por apellidos, nombre)" dataDxfId="1116" totalsRowDxfId="131"/>
    <tableColumn id="6" xr3:uid="{00000000-0010-0000-1800-000006000000}" name="Tipo de empresa según ambito" dataDxfId="1115" totalsRowDxfId="130"/>
    <tableColumn id="7" xr3:uid="{00000000-0010-0000-1800-000007000000}" name="Tamaño" dataDxfId="1114" totalsRowDxfId="129"/>
    <tableColumn id="8" xr3:uid="{00000000-0010-0000-1800-000008000000}" name="Sector" dataDxfId="1113" totalsRowDxfId="128"/>
    <tableColumn id="9" xr3:uid="{00000000-0010-0000-1800-000009000000}" name="Servicio" dataDxfId="1112" totalsRowDxfId="127"/>
    <tableColumn id="10" xr3:uid="{00000000-0010-0000-1800-00000A000000}" name="Estado" dataDxfId="1111" totalsRowDxfId="126"/>
    <tableColumn id="11" xr3:uid="{00000000-0010-0000-1800-00000B000000}" name="Municipio" dataDxfId="1110" totalsRowDxfId="125"/>
    <tableColumn id="12" xr3:uid="{00000000-0010-0000-1800-00000C000000}" name="Puesto que ocupa en la empresa:" dataDxfId="1109" totalsRowDxfId="124"/>
    <tableColumn id="13" xr3:uid="{00000000-0010-0000-1800-00000D000000}" name="Teléfono de contacto (y extensión)" dataDxfId="1108" totalsRowDxfId="123"/>
    <tableColumn id="14" xr3:uid="{00000000-0010-0000-1800-00000E000000}" name="Correo empresarial" dataDxfId="1107" totalsRowDxfId="122"/>
    <tableColumn id="15" xr3:uid="{00000000-0010-0000-1800-00000F000000}" name="Whatsapp" dataDxfId="1106" totalsRowDxfId="121"/>
    <tableColumn id="16" xr3:uid="{00000000-0010-0000-1800-000010000000}" name="Columna1" dataDxfId="1105" totalsRowDxfId="120"/>
    <tableColumn id="17" xr3:uid="{00000000-0010-0000-1800-000011000000}" name="Nombre completo (Iniciando por apellidos, nombre)" dataDxfId="1104" totalsRowDxfId="119"/>
    <tableColumn id="18" xr3:uid="{00000000-0010-0000-1800-000012000000}" name="Puesto que ocupa en la empresa:2" dataDxfId="1103" totalsRowDxfId="118"/>
    <tableColumn id="19" xr3:uid="{00000000-0010-0000-1800-000013000000}" name="Teléfono de contacto (y extensión)3" dataDxfId="1102" totalsRowDxfId="117"/>
    <tableColumn id="20" xr3:uid="{00000000-0010-0000-1800-000014000000}" name="Correo empresarial4" dataDxfId="1101" totalsRowDxfId="116"/>
    <tableColumn id="21" xr3:uid="{00000000-0010-0000-1800-000015000000}" name="Whatsapp5" dataDxfId="1100" totalsRowDxfId="115"/>
    <tableColumn id="22" xr3:uid="{00000000-0010-0000-1800-000016000000}" name="Columna6" dataDxfId="1099" totalsRowDxfId="114"/>
    <tableColumn id="23" xr3:uid="{00000000-0010-0000-1800-000017000000}" name="Nombre completo (Iniciando por apellidos, nombre)7" dataDxfId="1098" totalsRowDxfId="113"/>
    <tableColumn id="24" xr3:uid="{00000000-0010-0000-1800-000018000000}" name="Puesto que ocupa en la empresa:8" dataDxfId="1097" totalsRowDxfId="112"/>
    <tableColumn id="25" xr3:uid="{00000000-0010-0000-1800-000019000000}" name="Teléfono de contacto (y extensión)9" dataDxfId="1096" totalsRowDxfId="111"/>
    <tableColumn id="26" xr3:uid="{00000000-0010-0000-1800-00001A000000}" name="Correo empresarial10" dataDxfId="1095" totalsRowDxfId="110"/>
    <tableColumn id="27" xr3:uid="{00000000-0010-0000-1800-00001B000000}" name="Whatsapp11" dataDxfId="1094" totalsRowDxfId="109"/>
    <tableColumn id="28" xr3:uid="{00000000-0010-0000-1800-00001C000000}" name="Columna12" dataDxfId="1093" totalsRowDxfId="108"/>
    <tableColumn id="29" xr3:uid="{00000000-0010-0000-1800-00001D000000}" name="Nombre completo (Iniciando por apellidos, nombre)13" dataDxfId="1092" totalsRowDxfId="107"/>
    <tableColumn id="30" xr3:uid="{00000000-0010-0000-1800-00001E000000}" name="Puesto que ocupa en la empresa:14" dataDxfId="1091" totalsRowDxfId="106"/>
    <tableColumn id="31" xr3:uid="{00000000-0010-0000-1800-00001F000000}" name="Teléfono de contacto (y extensión)15" dataDxfId="1090" totalsRowDxfId="105"/>
    <tableColumn id="32" xr3:uid="{00000000-0010-0000-1800-000020000000}" name="Correo empresarial16" dataDxfId="1089" totalsRowDxfId="104"/>
    <tableColumn id="33" xr3:uid="{00000000-0010-0000-1800-000021000000}" name="Whatsapp17" dataDxfId="1088" totalsRowDxfId="103"/>
    <tableColumn id="34" xr3:uid="{00000000-0010-0000-1800-000022000000}" name="Columna18"/>
    <tableColumn id="35" xr3:uid="{00000000-0010-0000-1800-000023000000}" name="ARCHIVO" totalsRowFunction="count" dataDxfId="1087" totalsRowDxfId="10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9000000}" name="Tabla29" displayName="Tabla29" ref="A1:AI52" totalsRowCount="1" headerRowDxfId="1086" headerRowCellStyle="Bueno">
  <autoFilter ref="A1:AI51" xr:uid="{00000000-0009-0000-0100-00001C000000}"/>
  <tableColumns count="35">
    <tableColumn id="1" xr3:uid="{00000000-0010-0000-1900-000001000000}" name="Folio" totalsRowLabel="Total" dataDxfId="1085" totalsRowDxfId="101"/>
    <tableColumn id="2" xr3:uid="{00000000-0010-0000-1900-000002000000}" name="RFC" dataDxfId="1084" totalsRowDxfId="100"/>
    <tableColumn id="3" xr3:uid="{00000000-0010-0000-1900-000003000000}" name="Fecha" dataDxfId="1083" totalsRowDxfId="99"/>
    <tableColumn id="4" xr3:uid="{00000000-0010-0000-1900-000004000000}" name="Empresa" dataDxfId="1082" totalsRowDxfId="98"/>
    <tableColumn id="5" xr3:uid="{00000000-0010-0000-1900-000005000000}" name="Nombre completo de quien firma (Iniciando por apellidos, nombre)" dataDxfId="1081" totalsRowDxfId="97"/>
    <tableColumn id="6" xr3:uid="{00000000-0010-0000-1900-000006000000}" name="Tipo de empresa según ambito" dataDxfId="1080" totalsRowDxfId="96"/>
    <tableColumn id="7" xr3:uid="{00000000-0010-0000-1900-000007000000}" name="Tamaño" dataDxfId="1079" totalsRowDxfId="95"/>
    <tableColumn id="8" xr3:uid="{00000000-0010-0000-1900-000008000000}" name="Sector" dataDxfId="1078" totalsRowDxfId="94"/>
    <tableColumn id="9" xr3:uid="{00000000-0010-0000-1900-000009000000}" name="Servicio" dataDxfId="1077" totalsRowDxfId="93"/>
    <tableColumn id="10" xr3:uid="{00000000-0010-0000-1900-00000A000000}" name="Estado" dataDxfId="1076" totalsRowDxfId="92"/>
    <tableColumn id="11" xr3:uid="{00000000-0010-0000-1900-00000B000000}" name="Municipio" dataDxfId="1075" totalsRowDxfId="91"/>
    <tableColumn id="12" xr3:uid="{00000000-0010-0000-1900-00000C000000}" name="Puesto que ocupa en la empresa:" dataDxfId="1074" totalsRowDxfId="90"/>
    <tableColumn id="13" xr3:uid="{00000000-0010-0000-1900-00000D000000}" name="Teléfono de contacto (y extensión)" dataDxfId="1073" totalsRowDxfId="89"/>
    <tableColumn id="14" xr3:uid="{00000000-0010-0000-1900-00000E000000}" name="Correo empresarial" dataDxfId="1072" totalsRowDxfId="88"/>
    <tableColumn id="15" xr3:uid="{00000000-0010-0000-1900-00000F000000}" name="Whatsapp" dataDxfId="1071" totalsRowDxfId="87"/>
    <tableColumn id="16" xr3:uid="{00000000-0010-0000-1900-000010000000}" name="Columna1" dataDxfId="1070" totalsRowDxfId="86"/>
    <tableColumn id="17" xr3:uid="{00000000-0010-0000-1900-000011000000}" name="Nombre completo (Iniciando por apellidos, nombre)" dataDxfId="1069" totalsRowDxfId="85"/>
    <tableColumn id="18" xr3:uid="{00000000-0010-0000-1900-000012000000}" name="Puesto que ocupa en la empresa:2" dataDxfId="1068" totalsRowDxfId="84"/>
    <tableColumn id="19" xr3:uid="{00000000-0010-0000-1900-000013000000}" name="Teléfono de contacto (y extensión)3" dataDxfId="1067" totalsRowDxfId="83"/>
    <tableColumn id="20" xr3:uid="{00000000-0010-0000-1900-000014000000}" name="Correo empresarial4" dataDxfId="1066" totalsRowDxfId="82"/>
    <tableColumn id="21" xr3:uid="{00000000-0010-0000-1900-000015000000}" name="Whatsapp5" dataDxfId="1065" totalsRowDxfId="81"/>
    <tableColumn id="22" xr3:uid="{00000000-0010-0000-1900-000016000000}" name="Columna6" dataDxfId="1064" totalsRowDxfId="80"/>
    <tableColumn id="23" xr3:uid="{00000000-0010-0000-1900-000017000000}" name="Nombre completo (Iniciando por apellidos, nombre)7" dataDxfId="1063" totalsRowDxfId="79"/>
    <tableColumn id="24" xr3:uid="{00000000-0010-0000-1900-000018000000}" name="Puesto que ocupa en la empresa:8" dataDxfId="1062" totalsRowDxfId="78"/>
    <tableColumn id="25" xr3:uid="{00000000-0010-0000-1900-000019000000}" name="Teléfono de contacto (y extensión)9" dataDxfId="1061" totalsRowDxfId="77"/>
    <tableColumn id="26" xr3:uid="{00000000-0010-0000-1900-00001A000000}" name="Correo empresarial10" dataDxfId="1060" totalsRowDxfId="76"/>
    <tableColumn id="27" xr3:uid="{00000000-0010-0000-1900-00001B000000}" name="Whatsapp11" dataDxfId="1059" totalsRowDxfId="75"/>
    <tableColumn id="28" xr3:uid="{00000000-0010-0000-1900-00001C000000}" name="Columna12" dataDxfId="1058" totalsRowDxfId="74"/>
    <tableColumn id="29" xr3:uid="{00000000-0010-0000-1900-00001D000000}" name="Nombre completo (Iniciando por apellidos, nombre)13" dataDxfId="1057" totalsRowDxfId="73"/>
    <tableColumn id="30" xr3:uid="{00000000-0010-0000-1900-00001E000000}" name="Puesto que ocupa en la empresa:14" dataDxfId="1056" totalsRowDxfId="72"/>
    <tableColumn id="31" xr3:uid="{00000000-0010-0000-1900-00001F000000}" name="Teléfono de contacto (y extensión)15" dataDxfId="1055" totalsRowDxfId="71"/>
    <tableColumn id="32" xr3:uid="{00000000-0010-0000-1900-000020000000}" name="Correo empresarial16" dataDxfId="1054" totalsRowDxfId="70"/>
    <tableColumn id="33" xr3:uid="{00000000-0010-0000-1900-000021000000}" name="Whatsapp17" dataDxfId="1053" totalsRowDxfId="69"/>
    <tableColumn id="34" xr3:uid="{00000000-0010-0000-1900-000022000000}" name="Columna18"/>
    <tableColumn id="35" xr3:uid="{00000000-0010-0000-1900-000023000000}" name="ARCHIVO" totalsRowFunction="count" dataDxfId="1052" totalsRowDxfId="6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A000000}" name="Tabla30" displayName="Tabla30" ref="A1:AI52" totalsRowCount="1" headerRowDxfId="1051" headerRowCellStyle="Bueno">
  <autoFilter ref="A1:AI51" xr:uid="{00000000-0009-0000-0100-00001D000000}"/>
  <tableColumns count="35">
    <tableColumn id="1" xr3:uid="{00000000-0010-0000-1A00-000001000000}" name="Folio" totalsRowLabel="Total" dataDxfId="1050" totalsRowDxfId="67"/>
    <tableColumn id="2" xr3:uid="{00000000-0010-0000-1A00-000002000000}" name="RFC" dataDxfId="1049" totalsRowDxfId="66"/>
    <tableColumn id="3" xr3:uid="{00000000-0010-0000-1A00-000003000000}" name="Fecha" dataDxfId="1048" totalsRowDxfId="65"/>
    <tableColumn id="4" xr3:uid="{00000000-0010-0000-1A00-000004000000}" name="Empresa" dataDxfId="1047" totalsRowDxfId="64"/>
    <tableColumn id="5" xr3:uid="{00000000-0010-0000-1A00-000005000000}" name="Nombre completo de quien firma (Iniciando por apellidos, nombre)" dataDxfId="1046" totalsRowDxfId="63"/>
    <tableColumn id="6" xr3:uid="{00000000-0010-0000-1A00-000006000000}" name="Tipo de empresa según ambito" dataDxfId="1045" totalsRowDxfId="62"/>
    <tableColumn id="7" xr3:uid="{00000000-0010-0000-1A00-000007000000}" name="Tamaño" dataDxfId="1044" totalsRowDxfId="61"/>
    <tableColumn id="8" xr3:uid="{00000000-0010-0000-1A00-000008000000}" name="Sector" dataDxfId="1043" totalsRowDxfId="60"/>
    <tableColumn id="9" xr3:uid="{00000000-0010-0000-1A00-000009000000}" name="Servicio" dataDxfId="1042" totalsRowDxfId="59"/>
    <tableColumn id="10" xr3:uid="{00000000-0010-0000-1A00-00000A000000}" name="Estado" dataDxfId="1041" totalsRowDxfId="58"/>
    <tableColumn id="11" xr3:uid="{00000000-0010-0000-1A00-00000B000000}" name="Municipio" dataDxfId="1040" totalsRowDxfId="57"/>
    <tableColumn id="12" xr3:uid="{00000000-0010-0000-1A00-00000C000000}" name="Puesto que ocupa en la empresa:" dataDxfId="1039" totalsRowDxfId="56"/>
    <tableColumn id="13" xr3:uid="{00000000-0010-0000-1A00-00000D000000}" name="Teléfono de contacto (y extensión)" dataDxfId="1038" totalsRowDxfId="55"/>
    <tableColumn id="14" xr3:uid="{00000000-0010-0000-1A00-00000E000000}" name="Correo empresarial" dataDxfId="1037" totalsRowDxfId="54"/>
    <tableColumn id="15" xr3:uid="{00000000-0010-0000-1A00-00000F000000}" name="Whatsapp" dataDxfId="1036" totalsRowDxfId="53"/>
    <tableColumn id="16" xr3:uid="{00000000-0010-0000-1A00-000010000000}" name="Columna1" dataDxfId="1035" totalsRowDxfId="52"/>
    <tableColumn id="17" xr3:uid="{00000000-0010-0000-1A00-000011000000}" name="Nombre completo (Iniciando por apellidos, nombre)" dataDxfId="1034" totalsRowDxfId="51"/>
    <tableColumn id="18" xr3:uid="{00000000-0010-0000-1A00-000012000000}" name="Puesto que ocupa en la empresa:2" dataDxfId="1033" totalsRowDxfId="50"/>
    <tableColumn id="19" xr3:uid="{00000000-0010-0000-1A00-000013000000}" name="Teléfono de contacto (y extensión)3" dataDxfId="1032" totalsRowDxfId="49"/>
    <tableColumn id="20" xr3:uid="{00000000-0010-0000-1A00-000014000000}" name="Correo empresarial4" dataDxfId="1031" totalsRowDxfId="48"/>
    <tableColumn id="21" xr3:uid="{00000000-0010-0000-1A00-000015000000}" name="Whatsapp5" dataDxfId="1030" totalsRowDxfId="47"/>
    <tableColumn id="22" xr3:uid="{00000000-0010-0000-1A00-000016000000}" name="Columna6" dataDxfId="1029" totalsRowDxfId="46"/>
    <tableColumn id="23" xr3:uid="{00000000-0010-0000-1A00-000017000000}" name="Nombre completo (Iniciando por apellidos, nombre)7" dataDxfId="1028" totalsRowDxfId="45"/>
    <tableColumn id="24" xr3:uid="{00000000-0010-0000-1A00-000018000000}" name="Puesto que ocupa en la empresa:8" dataDxfId="1027" totalsRowDxfId="44"/>
    <tableColumn id="25" xr3:uid="{00000000-0010-0000-1A00-000019000000}" name="Teléfono de contacto (y extensión)9" dataDxfId="1026" totalsRowDxfId="43"/>
    <tableColumn id="26" xr3:uid="{00000000-0010-0000-1A00-00001A000000}" name="Correo empresarial10" dataDxfId="1025" totalsRowDxfId="42"/>
    <tableColumn id="27" xr3:uid="{00000000-0010-0000-1A00-00001B000000}" name="Whatsapp11" dataDxfId="1024" totalsRowDxfId="41"/>
    <tableColumn id="28" xr3:uid="{00000000-0010-0000-1A00-00001C000000}" name="Columna12" dataDxfId="1023" totalsRowDxfId="40"/>
    <tableColumn id="29" xr3:uid="{00000000-0010-0000-1A00-00001D000000}" name="Nombre completo (Iniciando por apellidos, nombre)13" dataDxfId="1022" totalsRowDxfId="39"/>
    <tableColumn id="30" xr3:uid="{00000000-0010-0000-1A00-00001E000000}" name="Puesto que ocupa en la empresa:14" dataDxfId="1021" totalsRowDxfId="38"/>
    <tableColumn id="31" xr3:uid="{00000000-0010-0000-1A00-00001F000000}" name="Teléfono de contacto (y extensión)15" dataDxfId="1020" totalsRowDxfId="37"/>
    <tableColumn id="32" xr3:uid="{00000000-0010-0000-1A00-000020000000}" name="Correo empresarial16" dataDxfId="1019" totalsRowDxfId="36"/>
    <tableColumn id="33" xr3:uid="{00000000-0010-0000-1A00-000021000000}" name="Whatsapp17" dataDxfId="1018" totalsRowDxfId="35"/>
    <tableColumn id="34" xr3:uid="{00000000-0010-0000-1A00-000022000000}" name="Columna18"/>
    <tableColumn id="35" xr3:uid="{00000000-0010-0000-1A00-000023000000}" name="ARCHIVO" totalsRowFunction="count" dataDxfId="1017" totalsRowDxfId="3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B000000}" name="Tabla31" displayName="Tabla31" ref="A1:AI52" totalsRowCount="1" headerRowDxfId="1016" headerRowCellStyle="Bueno">
  <autoFilter ref="A1:AI51" xr:uid="{00000000-0009-0000-0100-00001E000000}"/>
  <tableColumns count="35">
    <tableColumn id="1" xr3:uid="{00000000-0010-0000-1B00-000001000000}" name="Folio" totalsRowLabel="Total" dataDxfId="1015" totalsRowDxfId="33"/>
    <tableColumn id="2" xr3:uid="{00000000-0010-0000-1B00-000002000000}" name="RFC" dataDxfId="1014" totalsRowDxfId="32"/>
    <tableColumn id="3" xr3:uid="{00000000-0010-0000-1B00-000003000000}" name="Fecha" dataDxfId="1013" totalsRowDxfId="31"/>
    <tableColumn id="4" xr3:uid="{00000000-0010-0000-1B00-000004000000}" name="Empresa" dataDxfId="1012" totalsRowDxfId="30"/>
    <tableColumn id="5" xr3:uid="{00000000-0010-0000-1B00-000005000000}" name="Nombre completo de quien firma (Iniciando por apellidos, nombre)" dataDxfId="1011" totalsRowDxfId="29"/>
    <tableColumn id="6" xr3:uid="{00000000-0010-0000-1B00-000006000000}" name="Tipo de empresa según ambito" dataDxfId="1010" totalsRowDxfId="28"/>
    <tableColumn id="7" xr3:uid="{00000000-0010-0000-1B00-000007000000}" name="Tamaño" dataDxfId="1009" totalsRowDxfId="27"/>
    <tableColumn id="8" xr3:uid="{00000000-0010-0000-1B00-000008000000}" name="Sector" dataDxfId="1008" totalsRowDxfId="26"/>
    <tableColumn id="9" xr3:uid="{00000000-0010-0000-1B00-000009000000}" name="Servicio" dataDxfId="1007" totalsRowDxfId="25"/>
    <tableColumn id="10" xr3:uid="{00000000-0010-0000-1B00-00000A000000}" name="Estado" dataDxfId="1006" totalsRowDxfId="24"/>
    <tableColumn id="11" xr3:uid="{00000000-0010-0000-1B00-00000B000000}" name="Municipio" dataDxfId="1005" totalsRowDxfId="23"/>
    <tableColumn id="12" xr3:uid="{00000000-0010-0000-1B00-00000C000000}" name="Puesto que ocupa en la empresa:" dataDxfId="1004" totalsRowDxfId="22"/>
    <tableColumn id="13" xr3:uid="{00000000-0010-0000-1B00-00000D000000}" name="Teléfono de contacto (y extensión)" dataDxfId="1003" totalsRowDxfId="21"/>
    <tableColumn id="14" xr3:uid="{00000000-0010-0000-1B00-00000E000000}" name="Correo empresarial" dataDxfId="1002" totalsRowDxfId="20"/>
    <tableColumn id="15" xr3:uid="{00000000-0010-0000-1B00-00000F000000}" name="Whatsapp" dataDxfId="1001" totalsRowDxfId="19"/>
    <tableColumn id="16" xr3:uid="{00000000-0010-0000-1B00-000010000000}" name="Columna1" dataDxfId="1000" totalsRowDxfId="18"/>
    <tableColumn id="17" xr3:uid="{00000000-0010-0000-1B00-000011000000}" name="Nombre completo (Iniciando por apellidos, nombre)" dataDxfId="999" totalsRowDxfId="17"/>
    <tableColumn id="18" xr3:uid="{00000000-0010-0000-1B00-000012000000}" name="Puesto que ocupa en la empresa:2" dataDxfId="998" totalsRowDxfId="16"/>
    <tableColumn id="19" xr3:uid="{00000000-0010-0000-1B00-000013000000}" name="Teléfono de contacto (y extensión)3" dataDxfId="997" totalsRowDxfId="15"/>
    <tableColumn id="20" xr3:uid="{00000000-0010-0000-1B00-000014000000}" name="Correo empresarial4" dataDxfId="996" totalsRowDxfId="14"/>
    <tableColumn id="21" xr3:uid="{00000000-0010-0000-1B00-000015000000}" name="Whatsapp5" dataDxfId="995" totalsRowDxfId="13"/>
    <tableColumn id="22" xr3:uid="{00000000-0010-0000-1B00-000016000000}" name="Columna6" dataDxfId="994" totalsRowDxfId="12"/>
    <tableColumn id="23" xr3:uid="{00000000-0010-0000-1B00-000017000000}" name="Nombre completo (Iniciando por apellidos, nombre)7" dataDxfId="993" totalsRowDxfId="11"/>
    <tableColumn id="24" xr3:uid="{00000000-0010-0000-1B00-000018000000}" name="Puesto que ocupa en la empresa:8" dataDxfId="992" totalsRowDxfId="10"/>
    <tableColumn id="25" xr3:uid="{00000000-0010-0000-1B00-000019000000}" name="Teléfono de contacto (y extensión)9" dataDxfId="991" totalsRowDxfId="9"/>
    <tableColumn id="26" xr3:uid="{00000000-0010-0000-1B00-00001A000000}" name="Correo empresarial10" dataDxfId="990" totalsRowDxfId="8"/>
    <tableColumn id="27" xr3:uid="{00000000-0010-0000-1B00-00001B000000}" name="Whatsapp11" dataDxfId="989" totalsRowDxfId="7"/>
    <tableColumn id="28" xr3:uid="{00000000-0010-0000-1B00-00001C000000}" name="Columna12" dataDxfId="988" totalsRowDxfId="6"/>
    <tableColumn id="29" xr3:uid="{00000000-0010-0000-1B00-00001D000000}" name="Nombre completo (Iniciando por apellidos, nombre)13" dataDxfId="987" totalsRowDxfId="5"/>
    <tableColumn id="30" xr3:uid="{00000000-0010-0000-1B00-00001E000000}" name="Puesto que ocupa en la empresa:14" dataDxfId="986" totalsRowDxfId="4"/>
    <tableColumn id="31" xr3:uid="{00000000-0010-0000-1B00-00001F000000}" name="Teléfono de contacto (y extensión)15" dataDxfId="985" totalsRowDxfId="3"/>
    <tableColumn id="32" xr3:uid="{00000000-0010-0000-1B00-000020000000}" name="Correo empresarial16" dataDxfId="984" totalsRowDxfId="2"/>
    <tableColumn id="33" xr3:uid="{00000000-0010-0000-1B00-000021000000}" name="Whatsapp17" dataDxfId="983" totalsRowDxfId="1"/>
    <tableColumn id="34" xr3:uid="{00000000-0010-0000-1B00-000022000000}" name="Columna18"/>
    <tableColumn id="35" xr3:uid="{00000000-0010-0000-1B00-000023000000}" name="ARCHIVO" totalsRowFunction="count" dataDxfId="98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FIRMAS%20AUTORIZADAS\A006%20ALMEX.pdf" TargetMode="External"/><Relationship Id="rId117" Type="http://schemas.openxmlformats.org/officeDocument/2006/relationships/hyperlink" Target="mailto:vicky.buentello@arema.mx" TargetMode="External"/><Relationship Id="rId21" Type="http://schemas.openxmlformats.org/officeDocument/2006/relationships/hyperlink" Target="FIRMAS%20AUTORIZADAS\A005%20AFelectric.pdf" TargetMode="External"/><Relationship Id="rId42" Type="http://schemas.openxmlformats.org/officeDocument/2006/relationships/hyperlink" Target="mailto:claudia.rangel@akzonobel.com" TargetMode="External"/><Relationship Id="rId47" Type="http://schemas.openxmlformats.org/officeDocument/2006/relationships/hyperlink" Target="mailto:supervisor3.avaya@gmail.com" TargetMode="External"/><Relationship Id="rId63" Type="http://schemas.openxmlformats.org/officeDocument/2006/relationships/hyperlink" Target="mailto:gabriela.saqlazar@aaqm.com" TargetMode="External"/><Relationship Id="rId68" Type="http://schemas.openxmlformats.org/officeDocument/2006/relationships/hyperlink" Target="mailto:edgard@atcapitalhumano.com" TargetMode="External"/><Relationship Id="rId84" Type="http://schemas.openxmlformats.org/officeDocument/2006/relationships/hyperlink" Target="mailto:Servicioscontables.jrc@gmail.com" TargetMode="External"/><Relationship Id="rId89" Type="http://schemas.openxmlformats.org/officeDocument/2006/relationships/hyperlink" Target="mailto:acf.genesis@gmail.com" TargetMode="External"/><Relationship Id="rId112" Type="http://schemas.openxmlformats.org/officeDocument/2006/relationships/hyperlink" Target="mailto:ibeltran@akubica.com" TargetMode="External"/><Relationship Id="rId16" Type="http://schemas.openxmlformats.org/officeDocument/2006/relationships/hyperlink" Target="mailto:david.medrano@grupoavante.com.mx" TargetMode="External"/><Relationship Id="rId107" Type="http://schemas.openxmlformats.org/officeDocument/2006/relationships/hyperlink" Target="FIRMAS%20AUTORIZADAS\A027%20AV%20PROMOTORA-Grupo%20Acosta%20Verde.pdf" TargetMode="External"/><Relationship Id="rId11" Type="http://schemas.openxmlformats.org/officeDocument/2006/relationships/hyperlink" Target="mailto:auditoria@alanisamaroyasociados.com" TargetMode="External"/><Relationship Id="rId32" Type="http://schemas.openxmlformats.org/officeDocument/2006/relationships/hyperlink" Target="mailto:emata@adnenergia.com" TargetMode="External"/><Relationship Id="rId37" Type="http://schemas.openxmlformats.org/officeDocument/2006/relationships/hyperlink" Target="mailto:yazminmandujano22@gmail.com" TargetMode="External"/><Relationship Id="rId53" Type="http://schemas.openxmlformats.org/officeDocument/2006/relationships/hyperlink" Target="mailto:arturo.penam@uanl.mx" TargetMode="External"/><Relationship Id="rId58" Type="http://schemas.openxmlformats.org/officeDocument/2006/relationships/hyperlink" Target="mailto:almanzano@hlbalerex.com" TargetMode="External"/><Relationship Id="rId74" Type="http://schemas.openxmlformats.org/officeDocument/2006/relationships/hyperlink" Target="FIRMAS%20AUTORIZADAS\A020%20AMI%20Energy.pdf" TargetMode="External"/><Relationship Id="rId79" Type="http://schemas.openxmlformats.org/officeDocument/2006/relationships/hyperlink" Target="mailto:pserrato@acpollo.com" TargetMode="External"/><Relationship Id="rId102" Type="http://schemas.openxmlformats.org/officeDocument/2006/relationships/hyperlink" Target="mailto:claudia.alvarez@absolutoperaciones.com" TargetMode="External"/><Relationship Id="rId123" Type="http://schemas.openxmlformats.org/officeDocument/2006/relationships/printerSettings" Target="../printerSettings/printerSettings2.bin"/><Relationship Id="rId5" Type="http://schemas.openxmlformats.org/officeDocument/2006/relationships/hyperlink" Target="mailto:marcela.rocha@aflglobal.com" TargetMode="External"/><Relationship Id="rId61" Type="http://schemas.openxmlformats.org/officeDocument/2006/relationships/hyperlink" Target="FIRMAS%20AUTORIZADAS\A016%20Alerex%20Servicios%20S.A.%20de%20C.V..pdf" TargetMode="External"/><Relationship Id="rId82" Type="http://schemas.openxmlformats.org/officeDocument/2006/relationships/hyperlink" Target="mailto:Admservicios-20@hotamil.com" TargetMode="External"/><Relationship Id="rId90" Type="http://schemas.openxmlformats.org/officeDocument/2006/relationships/hyperlink" Target="mailto:alrocha65@hotmail.com" TargetMode="External"/><Relationship Id="rId95" Type="http://schemas.openxmlformats.org/officeDocument/2006/relationships/hyperlink" Target="FIRMAS%20AUTORIZADAS\A024%20ALCORE%20INGENIEROS.pdf" TargetMode="External"/><Relationship Id="rId19" Type="http://schemas.openxmlformats.org/officeDocument/2006/relationships/hyperlink" Target="mailto:administracion@afelectric.com.mx" TargetMode="External"/><Relationship Id="rId14" Type="http://schemas.openxmlformats.org/officeDocument/2006/relationships/hyperlink" Target="mailto:adriana.espinoza@grupoavante.com.mx" TargetMode="External"/><Relationship Id="rId22" Type="http://schemas.openxmlformats.org/officeDocument/2006/relationships/hyperlink" Target="mailto:elmer.melendez@almex.com.mx" TargetMode="External"/><Relationship Id="rId27" Type="http://schemas.openxmlformats.org/officeDocument/2006/relationships/hyperlink" Target="mailto:sandra@adviser.mx" TargetMode="External"/><Relationship Id="rId30" Type="http://schemas.openxmlformats.org/officeDocument/2006/relationships/hyperlink" Target="FIRMAS%20AUTORIZADAS\A007%20AMB%20Insurance%20Brokers.pdf" TargetMode="External"/><Relationship Id="rId35" Type="http://schemas.openxmlformats.org/officeDocument/2006/relationships/hyperlink" Target="FIRMAS%20AUTORIZADAS\A009%20ADNE-Adminsitraci&#243;n.pdf" TargetMode="External"/><Relationship Id="rId43" Type="http://schemas.openxmlformats.org/officeDocument/2006/relationships/hyperlink" Target="mailto:edgar.ramirez@akzonobel.com" TargetMode="External"/><Relationship Id="rId48" Type="http://schemas.openxmlformats.org/officeDocument/2006/relationships/hyperlink" Target="FIRMAS%20AUTORIZADAS\A012%20Alvarado%20Vargas%20Arangua%20y%20Asociados%20S.C..pdf" TargetMode="External"/><Relationship Id="rId56" Type="http://schemas.openxmlformats.org/officeDocument/2006/relationships/hyperlink" Target="FIRMAS%20AUTORIZADAS\A014%20Autenticos%20Tigres.pdf" TargetMode="External"/><Relationship Id="rId64" Type="http://schemas.openxmlformats.org/officeDocument/2006/relationships/hyperlink" Target="FIRMAS%20AUTORIZADAS\A017%20American%20Axle%20Novocast.pdf" TargetMode="External"/><Relationship Id="rId69" Type="http://schemas.openxmlformats.org/officeDocument/2006/relationships/hyperlink" Target="mailto:reclutamiento@atcapitalhumano.com" TargetMode="External"/><Relationship Id="rId77" Type="http://schemas.openxmlformats.org/officeDocument/2006/relationships/hyperlink" Target="mailto:pserrato@acpollo.com" TargetMode="External"/><Relationship Id="rId100" Type="http://schemas.openxmlformats.org/officeDocument/2006/relationships/hyperlink" Target="mailto:humbreto.mata@absolutoperaciones.com" TargetMode="External"/><Relationship Id="rId105" Type="http://schemas.openxmlformats.org/officeDocument/2006/relationships/hyperlink" Target="mailto:agaytan@grupoav.com" TargetMode="External"/><Relationship Id="rId113" Type="http://schemas.openxmlformats.org/officeDocument/2006/relationships/hyperlink" Target="mailto:iguipsot@akubica.com" TargetMode="External"/><Relationship Id="rId118" Type="http://schemas.openxmlformats.org/officeDocument/2006/relationships/hyperlink" Target="mailto:dei.beltran@arema.mx" TargetMode="External"/><Relationship Id="rId8" Type="http://schemas.openxmlformats.org/officeDocument/2006/relationships/hyperlink" Target="FIRMAS%20AUTORIZADAS\A002%20AFL%20TELECOMUNICACIONES%20DE%20M&#201;XICO.pdf" TargetMode="External"/><Relationship Id="rId51" Type="http://schemas.openxmlformats.org/officeDocument/2006/relationships/hyperlink" Target="mailto:Fabiola.aldama@arcacontal.com" TargetMode="External"/><Relationship Id="rId72" Type="http://schemas.openxmlformats.org/officeDocument/2006/relationships/hyperlink" Target="mailto:Amarantina.arguelles@amienergy.com" TargetMode="External"/><Relationship Id="rId80" Type="http://schemas.openxmlformats.org/officeDocument/2006/relationships/hyperlink" Target="mailto:djasso@acpollo.com8181391938" TargetMode="External"/><Relationship Id="rId85" Type="http://schemas.openxmlformats.org/officeDocument/2006/relationships/hyperlink" Target="FIRMAS%20AUTORIZADAS\A021%20ABB%20INSTALLATION%20PRODUCTS%20MONTERREY.pdf" TargetMode="External"/><Relationship Id="rId93" Type="http://schemas.openxmlformats.org/officeDocument/2006/relationships/hyperlink" Target="mailto:elizabethg@alcoreingenieros.com" TargetMode="External"/><Relationship Id="rId98" Type="http://schemas.openxmlformats.org/officeDocument/2006/relationships/hyperlink" Target="mailto:dperez@attendo.com.mx" TargetMode="External"/><Relationship Id="rId121" Type="http://schemas.openxmlformats.org/officeDocument/2006/relationships/hyperlink" Target="mailto:martin.alvarado@mx.yazaki.com" TargetMode="External"/><Relationship Id="rId3" Type="http://schemas.openxmlformats.org/officeDocument/2006/relationships/hyperlink" Target="mailto:direccion@aceropuertashg.com" TargetMode="External"/><Relationship Id="rId12" Type="http://schemas.openxmlformats.org/officeDocument/2006/relationships/hyperlink" Target="mailto:sbulnes@alanisamaroyasociados.coim" TargetMode="External"/><Relationship Id="rId17" Type="http://schemas.openxmlformats.org/officeDocument/2006/relationships/hyperlink" Target="FIRMAS%20AUTORIZADAS\A004%20AVANTE.pdf" TargetMode="External"/><Relationship Id="rId25" Type="http://schemas.openxmlformats.org/officeDocument/2006/relationships/hyperlink" Target="mailto:aldo.lozano@almex.com.mx" TargetMode="External"/><Relationship Id="rId33" Type="http://schemas.openxmlformats.org/officeDocument/2006/relationships/hyperlink" Target="mailto:mgavito@adnenergia.com" TargetMode="External"/><Relationship Id="rId38" Type="http://schemas.openxmlformats.org/officeDocument/2006/relationships/hyperlink" Target="mailto:mandujanoana@hotmal.com" TargetMode="External"/><Relationship Id="rId46" Type="http://schemas.openxmlformats.org/officeDocument/2006/relationships/hyperlink" Target="mailto:isidrocarrillo@gmail.com" TargetMode="External"/><Relationship Id="rId59" Type="http://schemas.openxmlformats.org/officeDocument/2006/relationships/hyperlink" Target="mailto:mdiaz@hlbalerex.com" TargetMode="External"/><Relationship Id="rId67" Type="http://schemas.openxmlformats.org/officeDocument/2006/relationships/hyperlink" Target="mailto:edgard@atcapitalhumano.com" TargetMode="External"/><Relationship Id="rId103" Type="http://schemas.openxmlformats.org/officeDocument/2006/relationships/hyperlink" Target="mailto:bryan.perez@absolutoperaciones.com" TargetMode="External"/><Relationship Id="rId108" Type="http://schemas.openxmlformats.org/officeDocument/2006/relationships/hyperlink" Target="mailto:recursoshumanos@agencialinares.com" TargetMode="External"/><Relationship Id="rId116" Type="http://schemas.openxmlformats.org/officeDocument/2006/relationships/hyperlink" Target="mailto:vicky.buentello@arema.mx" TargetMode="External"/><Relationship Id="rId124" Type="http://schemas.openxmlformats.org/officeDocument/2006/relationships/table" Target="../tables/table2.xml"/><Relationship Id="rId20" Type="http://schemas.openxmlformats.org/officeDocument/2006/relationships/hyperlink" Target="mailto:personal@afelectric.com.mx" TargetMode="External"/><Relationship Id="rId41" Type="http://schemas.openxmlformats.org/officeDocument/2006/relationships/hyperlink" Target="mailto:claudia.rangel@akzonobel.com" TargetMode="External"/><Relationship Id="rId54" Type="http://schemas.openxmlformats.org/officeDocument/2006/relationships/hyperlink" Target="mailto:arturo.penam@uanl.mx" TargetMode="External"/><Relationship Id="rId62" Type="http://schemas.openxmlformats.org/officeDocument/2006/relationships/hyperlink" Target="FIRMAS%20AUTORIZADAS\A015%20Akzent.pdf" TargetMode="External"/><Relationship Id="rId70" Type="http://schemas.openxmlformats.org/officeDocument/2006/relationships/hyperlink" Target="FIRMAS%20AUTORIZADAS\A019%20AT%20Capital%20Humano.pdf" TargetMode="External"/><Relationship Id="rId75" Type="http://schemas.openxmlformats.org/officeDocument/2006/relationships/hyperlink" Target="mailto:jorge.alonso@mx.abb.com" TargetMode="External"/><Relationship Id="rId83" Type="http://schemas.openxmlformats.org/officeDocument/2006/relationships/hyperlink" Target="mailto:Admservicios-20@hotmail.com" TargetMode="External"/><Relationship Id="rId88" Type="http://schemas.openxmlformats.org/officeDocument/2006/relationships/hyperlink" Target="mailto:rodolfovelezmoro@akzent.mx" TargetMode="External"/><Relationship Id="rId91" Type="http://schemas.openxmlformats.org/officeDocument/2006/relationships/hyperlink" Target="mailto:lcortez@alcoreingenieros.com" TargetMode="External"/><Relationship Id="rId96" Type="http://schemas.openxmlformats.org/officeDocument/2006/relationships/hyperlink" Target="mailto:celara@attendo.com.mx" TargetMode="External"/><Relationship Id="rId111" Type="http://schemas.openxmlformats.org/officeDocument/2006/relationships/hyperlink" Target="mailto:ibeltran@akubica.com" TargetMode="External"/><Relationship Id="rId1" Type="http://schemas.openxmlformats.org/officeDocument/2006/relationships/hyperlink" Target="FIRMAS%20AUTORIZADAS\A001%20ACEROPUERTAS%20Y%20MARCOS%20HG%20S.A.%20DE%20C.V..pdf" TargetMode="External"/><Relationship Id="rId6" Type="http://schemas.openxmlformats.org/officeDocument/2006/relationships/hyperlink" Target="mailto:marcela.rocha@aflglobal.com" TargetMode="External"/><Relationship Id="rId15" Type="http://schemas.openxmlformats.org/officeDocument/2006/relationships/hyperlink" Target="mailto:adriana.espinoza@grupoavante.com.mx" TargetMode="External"/><Relationship Id="rId23" Type="http://schemas.openxmlformats.org/officeDocument/2006/relationships/hyperlink" Target="mailto:jose.cortes@almex.com.mx" TargetMode="External"/><Relationship Id="rId28" Type="http://schemas.openxmlformats.org/officeDocument/2006/relationships/hyperlink" Target="mailto:sandra@adviser.mx" TargetMode="External"/><Relationship Id="rId36" Type="http://schemas.openxmlformats.org/officeDocument/2006/relationships/hyperlink" Target="mailto:yazminmandujano22@gmail.com" TargetMode="External"/><Relationship Id="rId49" Type="http://schemas.openxmlformats.org/officeDocument/2006/relationships/hyperlink" Target="mailto:manuel.barcena@arcacontal.com" TargetMode="External"/><Relationship Id="rId57" Type="http://schemas.openxmlformats.org/officeDocument/2006/relationships/hyperlink" Target="mailto:rodolfovelezmoro@akzent.mx" TargetMode="External"/><Relationship Id="rId106" Type="http://schemas.openxmlformats.org/officeDocument/2006/relationships/hyperlink" Target="mailto:agaytan@grupoav.com" TargetMode="External"/><Relationship Id="rId114" Type="http://schemas.openxmlformats.org/officeDocument/2006/relationships/hyperlink" Target="mailto:japaricio@akubica.com" TargetMode="External"/><Relationship Id="rId119" Type="http://schemas.openxmlformats.org/officeDocument/2006/relationships/hyperlink" Target="mailto:katia.perez@arema.com" TargetMode="External"/><Relationship Id="rId10" Type="http://schemas.openxmlformats.org/officeDocument/2006/relationships/hyperlink" Target="mailto:oalanis@alanisamaroyasociados.com" TargetMode="External"/><Relationship Id="rId31" Type="http://schemas.openxmlformats.org/officeDocument/2006/relationships/hyperlink" Target="mailto:emata@adnenergia.com" TargetMode="External"/><Relationship Id="rId44" Type="http://schemas.openxmlformats.org/officeDocument/2006/relationships/hyperlink" Target="FIRMAS%20AUTORIZADAS\A011%20AKZO%20NOBEL.pdf" TargetMode="External"/><Relationship Id="rId52" Type="http://schemas.openxmlformats.org/officeDocument/2006/relationships/hyperlink" Target="FIRMAS%20AUTORIZADAS\A013%20ARCACONTINENTAL-COCA%20COLA.pdf" TargetMode="External"/><Relationship Id="rId60" Type="http://schemas.openxmlformats.org/officeDocument/2006/relationships/hyperlink" Target="mailto:balcocer@hlbalerex" TargetMode="External"/><Relationship Id="rId65" Type="http://schemas.openxmlformats.org/officeDocument/2006/relationships/hyperlink" Target="mailto:acf.genesis@gmail.com" TargetMode="External"/><Relationship Id="rId73" Type="http://schemas.openxmlformats.org/officeDocument/2006/relationships/hyperlink" Target="mailto:guadalupe.prieto@amienergy.com" TargetMode="External"/><Relationship Id="rId78" Type="http://schemas.openxmlformats.org/officeDocument/2006/relationships/hyperlink" Target="mailto:conta03@acpollo.com" TargetMode="External"/><Relationship Id="rId81" Type="http://schemas.openxmlformats.org/officeDocument/2006/relationships/hyperlink" Target="mailto:Servicioscontables.jrc@gmail.com" TargetMode="External"/><Relationship Id="rId86" Type="http://schemas.openxmlformats.org/officeDocument/2006/relationships/hyperlink" Target="FIRMAS%20AUTORIZADAS\A022%20Ac%20Pollo%20del%20Centro.pdf" TargetMode="External"/><Relationship Id="rId94" Type="http://schemas.openxmlformats.org/officeDocument/2006/relationships/hyperlink" Target="mailto:psalinas@alcoreingenieros.com" TargetMode="External"/><Relationship Id="rId99" Type="http://schemas.openxmlformats.org/officeDocument/2006/relationships/hyperlink" Target="FIRMAS%20AUTORIZADAS\A025%20ATTENDO.pdf" TargetMode="External"/><Relationship Id="rId101" Type="http://schemas.openxmlformats.org/officeDocument/2006/relationships/hyperlink" Target="mailto:humbreto.mata@absolutoperaciones.com" TargetMode="External"/><Relationship Id="rId122" Type="http://schemas.openxmlformats.org/officeDocument/2006/relationships/hyperlink" Target="mailto:Karla.villeladel@mx.yazaki.com" TargetMode="External"/><Relationship Id="rId4" Type="http://schemas.openxmlformats.org/officeDocument/2006/relationships/hyperlink" Target="mailto:hector_9620@hotmal.com" TargetMode="External"/><Relationship Id="rId9" Type="http://schemas.openxmlformats.org/officeDocument/2006/relationships/hyperlink" Target="mailto:auditoria@alanisamaroyasociados.com" TargetMode="External"/><Relationship Id="rId13" Type="http://schemas.openxmlformats.org/officeDocument/2006/relationships/hyperlink" Target="FIRMAS%20AUTORIZADAS\A003%20ALANIS%20AMARO%20Y%20ASOCIADOS.pdf" TargetMode="External"/><Relationship Id="rId18" Type="http://schemas.openxmlformats.org/officeDocument/2006/relationships/hyperlink" Target="mailto:administracion@afelectric.com.mx" TargetMode="External"/><Relationship Id="rId39" Type="http://schemas.openxmlformats.org/officeDocument/2006/relationships/hyperlink" Target="mailto:villalobosconta@gmail.com" TargetMode="External"/><Relationship Id="rId109" Type="http://schemas.openxmlformats.org/officeDocument/2006/relationships/hyperlink" Target="mailto:recursoshumanos@agencialinares.com" TargetMode="External"/><Relationship Id="rId34" Type="http://schemas.openxmlformats.org/officeDocument/2006/relationships/hyperlink" Target="mailto:rgonzalez@adnenergia.com" TargetMode="External"/><Relationship Id="rId50" Type="http://schemas.openxmlformats.org/officeDocument/2006/relationships/hyperlink" Target="mailto:manuel.barcena@arcacontal.com" TargetMode="External"/><Relationship Id="rId55" Type="http://schemas.openxmlformats.org/officeDocument/2006/relationships/hyperlink" Target="mailto:juan.zamoram@uanl.mx" TargetMode="External"/><Relationship Id="rId76" Type="http://schemas.openxmlformats.org/officeDocument/2006/relationships/hyperlink" Target="mailto:jorge.alonso@mx.abb.com" TargetMode="External"/><Relationship Id="rId97" Type="http://schemas.openxmlformats.org/officeDocument/2006/relationships/hyperlink" Target="mailto:kgarcia@attendo.com.mx" TargetMode="External"/><Relationship Id="rId104" Type="http://schemas.openxmlformats.org/officeDocument/2006/relationships/hyperlink" Target="FIRMAS%20AUTORIZADAS\A026%20ABSOLUT%20OPERACION%20Y%20MANTENIMIENTO%20DE%20GAS-Absolut.pdf" TargetMode="External"/><Relationship Id="rId120" Type="http://schemas.openxmlformats.org/officeDocument/2006/relationships/hyperlink" Target="FIRMAS%20AUTORIZADAS\A030%20AREMA%20PRODUCCION%20Y%20SERVICIOS-Arema%20Ticket.pdf" TargetMode="External"/><Relationship Id="rId7" Type="http://schemas.openxmlformats.org/officeDocument/2006/relationships/hyperlink" Target="mailto:brenda.luna@aflglobal.com" TargetMode="External"/><Relationship Id="rId71" Type="http://schemas.openxmlformats.org/officeDocument/2006/relationships/hyperlink" Target="mailto:Amarantina.arguelles@amienergy.com" TargetMode="External"/><Relationship Id="rId92" Type="http://schemas.openxmlformats.org/officeDocument/2006/relationships/hyperlink" Target="mailto:lcortez@alcoreingenieros.com" TargetMode="External"/><Relationship Id="rId2" Type="http://schemas.openxmlformats.org/officeDocument/2006/relationships/hyperlink" Target="mailto:direccion@aceropuertashg.com" TargetMode="External"/><Relationship Id="rId29" Type="http://schemas.openxmlformats.org/officeDocument/2006/relationships/hyperlink" Target="FIRMAS%20AUTORIZADAS\A008%20ADVISER%20CONSULTORES.pdf" TargetMode="External"/><Relationship Id="rId24" Type="http://schemas.openxmlformats.org/officeDocument/2006/relationships/hyperlink" Target="mailto:elmer.melendez@almex.com.mx" TargetMode="External"/><Relationship Id="rId40" Type="http://schemas.openxmlformats.org/officeDocument/2006/relationships/hyperlink" Target="FIRMAS%20AUTORIZADAS\A010%20ANVARO%20CONSTRUCTORA.pdf" TargetMode="External"/><Relationship Id="rId45" Type="http://schemas.openxmlformats.org/officeDocument/2006/relationships/hyperlink" Target="mailto:isidrocarrillo@gmail.com" TargetMode="External"/><Relationship Id="rId66" Type="http://schemas.openxmlformats.org/officeDocument/2006/relationships/hyperlink" Target="FIRMAS%20AUTORIZADAS\A018%20ASESORIA%20CONTABLE%20FISCAL%20GENESIS%20SA%20DE%20CV.pdf" TargetMode="External"/><Relationship Id="rId87" Type="http://schemas.openxmlformats.org/officeDocument/2006/relationships/hyperlink" Target="FIRMAS%20AUTORIZADAS\A023%20ABRAHAM%20OSVALDO%20RODRIGUEZ%20BAEZ-AD%20Corporative.pdf" TargetMode="External"/><Relationship Id="rId110" Type="http://schemas.openxmlformats.org/officeDocument/2006/relationships/hyperlink" Target="FIRMAS%20AUTORIZADAS\A028%20AGENCIA%20CUAUHTEMOC%20DE%20LINARES.pdf" TargetMode="External"/><Relationship Id="rId115" Type="http://schemas.openxmlformats.org/officeDocument/2006/relationships/hyperlink" Target="FIRMAS%20AUTORIZADAS\A029%20A3%20SERVICIOS%20DE%20TECNOLOG&#205;A-Sistemas%20AKUBICA.pdf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ristianrafael.torres@bydsa.com" TargetMode="External"/><Relationship Id="rId18" Type="http://schemas.openxmlformats.org/officeDocument/2006/relationships/hyperlink" Target="mailto:deyanira.lopez@budenheim.com" TargetMode="External"/><Relationship Id="rId26" Type="http://schemas.openxmlformats.org/officeDocument/2006/relationships/hyperlink" Target="mailto:dieibarra28@gmail.com" TargetMode="External"/><Relationship Id="rId39" Type="http://schemas.openxmlformats.org/officeDocument/2006/relationships/hyperlink" Target="mailto:sarahi.c@bfconsultores.com.mx" TargetMode="External"/><Relationship Id="rId21" Type="http://schemas.openxmlformats.org/officeDocument/2006/relationships/hyperlink" Target="FIRMAS%20AUTORIZADAS\B006%20Budenheim.pdf" TargetMode="External"/><Relationship Id="rId34" Type="http://schemas.openxmlformats.org/officeDocument/2006/relationships/hyperlink" Target="mailto:laldana@biosina.com.mx" TargetMode="External"/><Relationship Id="rId42" Type="http://schemas.openxmlformats.org/officeDocument/2006/relationships/hyperlink" Target="FIRMAS%20AUTORIZADAS\B009%20BM%20Asesor&#237;a.pdf" TargetMode="External"/><Relationship Id="rId47" Type="http://schemas.openxmlformats.org/officeDocument/2006/relationships/hyperlink" Target="mailto:paola.chua@afirme.com" TargetMode="External"/><Relationship Id="rId50" Type="http://schemas.openxmlformats.org/officeDocument/2006/relationships/hyperlink" Target="mailto:garmenda@mx.brembo.com" TargetMode="External"/><Relationship Id="rId55" Type="http://schemas.openxmlformats.org/officeDocument/2006/relationships/hyperlink" Target="FIRMAS%20AUTORIZADAS\B015%20BOSTIK%20MEXICANA.pdf" TargetMode="External"/><Relationship Id="rId7" Type="http://schemas.openxmlformats.org/officeDocument/2006/relationships/hyperlink" Target="mailto:ggarcial@bnext.mx" TargetMode="External"/><Relationship Id="rId12" Type="http://schemas.openxmlformats.org/officeDocument/2006/relationships/hyperlink" Target="mailto:nancyelizabeth.reina@bydsa.com" TargetMode="External"/><Relationship Id="rId17" Type="http://schemas.openxmlformats.org/officeDocument/2006/relationships/hyperlink" Target="FIRMAS%20AUTORIZADAS\B005%20BITZER.pdf" TargetMode="External"/><Relationship Id="rId25" Type="http://schemas.openxmlformats.org/officeDocument/2006/relationships/hyperlink" Target="mailto:silviabafyc@me.com" TargetMode="External"/><Relationship Id="rId33" Type="http://schemas.openxmlformats.org/officeDocument/2006/relationships/hyperlink" Target="mailto:recursoshumanos@biosinsa.com" TargetMode="External"/><Relationship Id="rId38" Type="http://schemas.openxmlformats.org/officeDocument/2006/relationships/hyperlink" Target="mailto:juancarlos.cruz@bfconsultores.com.mx" TargetMode="External"/><Relationship Id="rId46" Type="http://schemas.openxmlformats.org/officeDocument/2006/relationships/hyperlink" Target="mailto:delia.medina@afirme.com" TargetMode="External"/><Relationship Id="rId2" Type="http://schemas.openxmlformats.org/officeDocument/2006/relationships/hyperlink" Target="mailto:miguel.enriquez@banregio.com" TargetMode="External"/><Relationship Id="rId16" Type="http://schemas.openxmlformats.org/officeDocument/2006/relationships/hyperlink" Target="mailto:mvillalobos@bitzermexico.com" TargetMode="External"/><Relationship Id="rId20" Type="http://schemas.openxmlformats.org/officeDocument/2006/relationships/hyperlink" Target="mailto:martha.esparza@budenheim.com" TargetMode="External"/><Relationship Id="rId29" Type="http://schemas.openxmlformats.org/officeDocument/2006/relationships/hyperlink" Target="mailto:capitalhumano@byaclean.com.mx" TargetMode="External"/><Relationship Id="rId41" Type="http://schemas.openxmlformats.org/officeDocument/2006/relationships/hyperlink" Target="FIRMAS%20AUTORIZADAS\B008%20BACYF.pdf" TargetMode="External"/><Relationship Id="rId54" Type="http://schemas.openxmlformats.org/officeDocument/2006/relationships/hyperlink" Target="mailto:Stefani.perez@bostik.com" TargetMode="External"/><Relationship Id="rId1" Type="http://schemas.openxmlformats.org/officeDocument/2006/relationships/hyperlink" Target="mailto:miguel.enriquez@banregio.com" TargetMode="External"/><Relationship Id="rId6" Type="http://schemas.openxmlformats.org/officeDocument/2006/relationships/hyperlink" Target="mailto:ggarcial@bnext.mx" TargetMode="External"/><Relationship Id="rId11" Type="http://schemas.openxmlformats.org/officeDocument/2006/relationships/hyperlink" Target="mailto:nancyelizabeth.reina@bydsa.com" TargetMode="External"/><Relationship Id="rId24" Type="http://schemas.openxmlformats.org/officeDocument/2006/relationships/hyperlink" Target="FIRMAS%20AUTORIZADAS\B007%20Belden%20LRC%20Mexico.pdf" TargetMode="External"/><Relationship Id="rId32" Type="http://schemas.openxmlformats.org/officeDocument/2006/relationships/hyperlink" Target="mailto:recursoshumanos@biosinsa.com" TargetMode="External"/><Relationship Id="rId37" Type="http://schemas.openxmlformats.org/officeDocument/2006/relationships/hyperlink" Target="mailto:juancarlos.cruz@bfconsultores.com.mx" TargetMode="External"/><Relationship Id="rId40" Type="http://schemas.openxmlformats.org/officeDocument/2006/relationships/hyperlink" Target="FIRMAS%20AUTORIZADAS\B012%20BF%20CONSULTORES%20SC.pdf" TargetMode="External"/><Relationship Id="rId45" Type="http://schemas.openxmlformats.org/officeDocument/2006/relationships/hyperlink" Target="mailto:delia.medina@afirme.com" TargetMode="External"/><Relationship Id="rId53" Type="http://schemas.openxmlformats.org/officeDocument/2006/relationships/hyperlink" Target="mailto:Stefani.perez@bostik.com" TargetMode="External"/><Relationship Id="rId5" Type="http://schemas.openxmlformats.org/officeDocument/2006/relationships/hyperlink" Target="FIRMAS%20AUTORIZADAS\B001%20BANREGIO.pdf" TargetMode="External"/><Relationship Id="rId15" Type="http://schemas.openxmlformats.org/officeDocument/2006/relationships/hyperlink" Target="mailto:mvillalobos@bitzermexico.com" TargetMode="External"/><Relationship Id="rId23" Type="http://schemas.openxmlformats.org/officeDocument/2006/relationships/hyperlink" Target="mailto:jhonathan.alatorre@beldem.com" TargetMode="External"/><Relationship Id="rId28" Type="http://schemas.openxmlformats.org/officeDocument/2006/relationships/hyperlink" Target="mailto:bmartinez@gmail.com" TargetMode="External"/><Relationship Id="rId36" Type="http://schemas.openxmlformats.org/officeDocument/2006/relationships/hyperlink" Target="FIRMAS%20AUTORIZADAS\B011%20BIOSINSA.pdf" TargetMode="External"/><Relationship Id="rId49" Type="http://schemas.openxmlformats.org/officeDocument/2006/relationships/hyperlink" Target="mailto:garmenda@mx.brembo.com" TargetMode="External"/><Relationship Id="rId57" Type="http://schemas.openxmlformats.org/officeDocument/2006/relationships/table" Target="../tables/table3.xml"/><Relationship Id="rId10" Type="http://schemas.openxmlformats.org/officeDocument/2006/relationships/hyperlink" Target="FIRMAS%20AUTORIZADAS\B003%20BRAVO.pdf" TargetMode="External"/><Relationship Id="rId19" Type="http://schemas.openxmlformats.org/officeDocument/2006/relationships/hyperlink" Target="mailto:deyanira.lopez@budenheim.com" TargetMode="External"/><Relationship Id="rId31" Type="http://schemas.openxmlformats.org/officeDocument/2006/relationships/hyperlink" Target="mailto:cinthya@byaclean.com.mx" TargetMode="External"/><Relationship Id="rId44" Type="http://schemas.openxmlformats.org/officeDocument/2006/relationships/hyperlink" Target="mailto:silviabafyc@me.com" TargetMode="External"/><Relationship Id="rId52" Type="http://schemas.openxmlformats.org/officeDocument/2006/relationships/hyperlink" Target="FIRMAS%20AUTORIZADAS\B014%20BREMBO%20DE%20MEXICO.pdf" TargetMode="External"/><Relationship Id="rId4" Type="http://schemas.openxmlformats.org/officeDocument/2006/relationships/hyperlink" Target="mailto:caleb.elias@banregio.com" TargetMode="External"/><Relationship Id="rId9" Type="http://schemas.openxmlformats.org/officeDocument/2006/relationships/hyperlink" Target="mailto:andrea.gonzalez@bravo1.com" TargetMode="External"/><Relationship Id="rId14" Type="http://schemas.openxmlformats.org/officeDocument/2006/relationships/hyperlink" Target="FIRMAS%20AUTORIZADAS\B004%20BYDSA.pdf" TargetMode="External"/><Relationship Id="rId22" Type="http://schemas.openxmlformats.org/officeDocument/2006/relationships/hyperlink" Target="mailto:jhonathan.alatorre@beldem.com" TargetMode="External"/><Relationship Id="rId27" Type="http://schemas.openxmlformats.org/officeDocument/2006/relationships/hyperlink" Target="mailto:dieibarra28@gmail.com" TargetMode="External"/><Relationship Id="rId30" Type="http://schemas.openxmlformats.org/officeDocument/2006/relationships/hyperlink" Target="mailto:ventas@byaclean.com.mx" TargetMode="External"/><Relationship Id="rId35" Type="http://schemas.openxmlformats.org/officeDocument/2006/relationships/hyperlink" Target="mailto:Auxrh2@biosinsa.com" TargetMode="External"/><Relationship Id="rId43" Type="http://schemas.openxmlformats.org/officeDocument/2006/relationships/hyperlink" Target="FIRMAS%20AUTORIZADAS\B010%20BYA%20%20Limpieza%20y%20Mantenimiento%20Industrial.pdf" TargetMode="External"/><Relationship Id="rId48" Type="http://schemas.openxmlformats.org/officeDocument/2006/relationships/hyperlink" Target="FIRMAS%20AUTORIZADAS\B013%20BANCA%20AFIRME.pdf" TargetMode="External"/><Relationship Id="rId56" Type="http://schemas.openxmlformats.org/officeDocument/2006/relationships/printerSettings" Target="../printerSettings/printerSettings3.bin"/><Relationship Id="rId8" Type="http://schemas.openxmlformats.org/officeDocument/2006/relationships/hyperlink" Target="FIRMAS%20AUTORIZADAS\B002%20BNEXT.pdf" TargetMode="External"/><Relationship Id="rId51" Type="http://schemas.openxmlformats.org/officeDocument/2006/relationships/hyperlink" Target="mailto:amaldonado@mx.brembo.com" TargetMode="External"/><Relationship Id="rId3" Type="http://schemas.openxmlformats.org/officeDocument/2006/relationships/hyperlink" Target="mailto:rodrigo.cavazos@banregio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karla.lara@crediclub.com" TargetMode="External"/><Relationship Id="rId21" Type="http://schemas.openxmlformats.org/officeDocument/2006/relationships/hyperlink" Target="FIRMAS%20AUTORIZADAS\C005%20COPAMEX%20INDUSTRIAS%20SA%20DE%20CV.pdf" TargetMode="External"/><Relationship Id="rId42" Type="http://schemas.openxmlformats.org/officeDocument/2006/relationships/hyperlink" Target="mailto:nominas@frutascavi.com" TargetMode="External"/><Relationship Id="rId63" Type="http://schemas.openxmlformats.org/officeDocument/2006/relationships/hyperlink" Target="FIRMAS%20AUTORIZADAS\C020%20CICSA.pdf" TargetMode="External"/><Relationship Id="rId84" Type="http://schemas.openxmlformats.org/officeDocument/2006/relationships/hyperlink" Target="mailto:amedina@cymm.com" TargetMode="External"/><Relationship Id="rId138" Type="http://schemas.openxmlformats.org/officeDocument/2006/relationships/hyperlink" Target="FIRMAS%20AUTORIZADAS\C032%20CARRIER.pdf" TargetMode="External"/><Relationship Id="rId159" Type="http://schemas.openxmlformats.org/officeDocument/2006/relationships/hyperlink" Target="FIRMAS%20AUTORIZADAS\C044%20COMERCIAL%20E%20INDUSTRIAL%20DE%20ADITIVOS%20PARA%20FUNDICI&#211;N-cinafunsa.pdf" TargetMode="External"/><Relationship Id="rId170" Type="http://schemas.openxmlformats.org/officeDocument/2006/relationships/hyperlink" Target="mailto:Melissa.bahena@cpamty.com" TargetMode="External"/><Relationship Id="rId191" Type="http://schemas.openxmlformats.org/officeDocument/2006/relationships/hyperlink" Target="mailto:Contabilidad4@carrazcoyasociados.com.mx" TargetMode="External"/><Relationship Id="rId205" Type="http://schemas.openxmlformats.org/officeDocument/2006/relationships/hyperlink" Target="mailto:administracion@sirocmx.com" TargetMode="External"/><Relationship Id="rId107" Type="http://schemas.openxmlformats.org/officeDocument/2006/relationships/hyperlink" Target="mailto:regina.guzmanp@cemex.com" TargetMode="External"/><Relationship Id="rId11" Type="http://schemas.openxmlformats.org/officeDocument/2006/relationships/hyperlink" Target="mailto:zulema.gomez@taro.mx" TargetMode="External"/><Relationship Id="rId32" Type="http://schemas.openxmlformats.org/officeDocument/2006/relationships/hyperlink" Target="mailto:jazmin.garcia@callawaygolf.com" TargetMode="External"/><Relationship Id="rId37" Type="http://schemas.openxmlformats.org/officeDocument/2006/relationships/hyperlink" Target="mailto:a-aranza10@hotmail.com" TargetMode="External"/><Relationship Id="rId53" Type="http://schemas.openxmlformats.org/officeDocument/2006/relationships/hyperlink" Target="FIRMAS%20AUTORIZADAS\C017%20Consultores%20Sald&#237;var%20S.C..pdf" TargetMode="External"/><Relationship Id="rId58" Type="http://schemas.openxmlformats.org/officeDocument/2006/relationships/hyperlink" Target="FIRMAS%20AUTORIZADAS\C018%20CEMEX.pdf" TargetMode="External"/><Relationship Id="rId74" Type="http://schemas.openxmlformats.org/officeDocument/2006/relationships/hyperlink" Target="mailto:cassandra.centella@citrofrut.com" TargetMode="External"/><Relationship Id="rId79" Type="http://schemas.openxmlformats.org/officeDocument/2006/relationships/hyperlink" Target="FIRMAS%20AUTORIZADAS\C026%20COPAMEX%20INDUSTRIAS%20SA%20DE%20CV.pdf" TargetMode="External"/><Relationship Id="rId102" Type="http://schemas.openxmlformats.org/officeDocument/2006/relationships/hyperlink" Target="mailto:HugoAdrian.Flores@carrier.com" TargetMode="External"/><Relationship Id="rId123" Type="http://schemas.openxmlformats.org/officeDocument/2006/relationships/hyperlink" Target="mailto:Administracion2@ccmrindustrias.com" TargetMode="External"/><Relationship Id="rId128" Type="http://schemas.openxmlformats.org/officeDocument/2006/relationships/hyperlink" Target="mailto:yoselingzz610@gmail.com" TargetMode="External"/><Relationship Id="rId144" Type="http://schemas.openxmlformats.org/officeDocument/2006/relationships/hyperlink" Target="mailto:agonzales@grupoasertax.mx" TargetMode="External"/><Relationship Id="rId149" Type="http://schemas.openxmlformats.org/officeDocument/2006/relationships/hyperlink" Target="mailto:adriana.hurtado@contourglobal.com" TargetMode="External"/><Relationship Id="rId5" Type="http://schemas.openxmlformats.org/officeDocument/2006/relationships/hyperlink" Target="FIRMAS%20AUTORIZADAS\C002%20CDR%20MARTINEZ%20ABARCA.pdf" TargetMode="External"/><Relationship Id="rId90" Type="http://schemas.openxmlformats.org/officeDocument/2006/relationships/hyperlink" Target="FIRMAS%20AUTORIZADAS\C029%20Castle%20Metals.pdf" TargetMode="External"/><Relationship Id="rId95" Type="http://schemas.openxmlformats.org/officeDocument/2006/relationships/hyperlink" Target="mailto:brisa.martinez@crowncork.com.mx" TargetMode="External"/><Relationship Id="rId160" Type="http://schemas.openxmlformats.org/officeDocument/2006/relationships/hyperlink" Target="mailto:miguel.salas@cyfcontadores.com" TargetMode="External"/><Relationship Id="rId165" Type="http://schemas.openxmlformats.org/officeDocument/2006/relationships/hyperlink" Target="FIRMAS%20AUTORIZADAS\C046%20CHRISTUS-LATAM%20HUB%20CENTER%20OF%20EXCELLENCE-Christus%20Excellence.pdf" TargetMode="External"/><Relationship Id="rId181" Type="http://schemas.openxmlformats.org/officeDocument/2006/relationships/hyperlink" Target="mailto:avazquez@becariosmx.com" TargetMode="External"/><Relationship Id="rId186" Type="http://schemas.openxmlformats.org/officeDocument/2006/relationships/hyperlink" Target="mailto:angela.trevino@howmet.com" TargetMode="External"/><Relationship Id="rId211" Type="http://schemas.openxmlformats.org/officeDocument/2006/relationships/table" Target="../tables/table4.xml"/><Relationship Id="rId22" Type="http://schemas.openxmlformats.org/officeDocument/2006/relationships/hyperlink" Target="mailto:diana.ayala@cfe.mx" TargetMode="External"/><Relationship Id="rId27" Type="http://schemas.openxmlformats.org/officeDocument/2006/relationships/hyperlink" Target="FIRMAS%20AUTORIZADAS\C008%20CRUZ%20ROJA%20MEXICANA.pdf" TargetMode="External"/><Relationship Id="rId43" Type="http://schemas.openxmlformats.org/officeDocument/2006/relationships/hyperlink" Target="mailto:contabilidad2@frutacavi.com" TargetMode="External"/><Relationship Id="rId48" Type="http://schemas.openxmlformats.org/officeDocument/2006/relationships/hyperlink" Target="FIRMAS%20AUTORIZADAS\C015%20CHAVEZ%20DURAN-Asesoria%20Fiscal%20y%20Contable.pdf" TargetMode="External"/><Relationship Id="rId64" Type="http://schemas.openxmlformats.org/officeDocument/2006/relationships/hyperlink" Target="mailto:talento@colds.com.mx" TargetMode="External"/><Relationship Id="rId69" Type="http://schemas.openxmlformats.org/officeDocument/2006/relationships/hyperlink" Target="mailto:valeria.trevinog@uanl.mx" TargetMode="External"/><Relationship Id="rId113" Type="http://schemas.openxmlformats.org/officeDocument/2006/relationships/hyperlink" Target="mailto:rhumanos1@concordsupply.com" TargetMode="External"/><Relationship Id="rId118" Type="http://schemas.openxmlformats.org/officeDocument/2006/relationships/hyperlink" Target="mailto:agonzales@grupoasertax.mx" TargetMode="External"/><Relationship Id="rId134" Type="http://schemas.openxmlformats.org/officeDocument/2006/relationships/hyperlink" Target="mailto:lius@comessa.com.mx" TargetMode="External"/><Relationship Id="rId139" Type="http://schemas.openxmlformats.org/officeDocument/2006/relationships/hyperlink" Target="FIRMAS%20AUTORIZADAS\C033%20CEMEX.pdf" TargetMode="External"/><Relationship Id="rId80" Type="http://schemas.openxmlformats.org/officeDocument/2006/relationships/hyperlink" Target="mailto:ahernandez@conttax.com.mx" TargetMode="External"/><Relationship Id="rId85" Type="http://schemas.openxmlformats.org/officeDocument/2006/relationships/hyperlink" Target="mailto:rvarela@cymm.com" TargetMode="External"/><Relationship Id="rId150" Type="http://schemas.openxmlformats.org/officeDocument/2006/relationships/hyperlink" Target="mailto:johana.i.jaramillo@valspar.com" TargetMode="External"/><Relationship Id="rId155" Type="http://schemas.openxmlformats.org/officeDocument/2006/relationships/hyperlink" Target="mailto:ndelacruz@cinafunsa.com" TargetMode="External"/><Relationship Id="rId171" Type="http://schemas.openxmlformats.org/officeDocument/2006/relationships/hyperlink" Target="mailto:Carlos.padilla@cpamty.com" TargetMode="External"/><Relationship Id="rId176" Type="http://schemas.openxmlformats.org/officeDocument/2006/relationships/hyperlink" Target="mailto:carlos@calderonmarin.com" TargetMode="External"/><Relationship Id="rId192" Type="http://schemas.openxmlformats.org/officeDocument/2006/relationships/hyperlink" Target="mailto:Contabilidad6@carrazcoyasociados.com.mx" TargetMode="External"/><Relationship Id="rId197" Type="http://schemas.openxmlformats.org/officeDocument/2006/relationships/hyperlink" Target="mailto:gerencia_rh@charal.com.mx" TargetMode="External"/><Relationship Id="rId206" Type="http://schemas.openxmlformats.org/officeDocument/2006/relationships/hyperlink" Target="FIRMAS%20AUTORIZADAS\C057%20CONSULTORIA%20FINANCIERA%20MELCAP-Melcap.pdf" TargetMode="External"/><Relationship Id="rId201" Type="http://schemas.openxmlformats.org/officeDocument/2006/relationships/hyperlink" Target="mailto:info@sirocmx.com" TargetMode="External"/><Relationship Id="rId12" Type="http://schemas.openxmlformats.org/officeDocument/2006/relationships/hyperlink" Target="mailto:Cecilia.alvarado@taro.mx" TargetMode="External"/><Relationship Id="rId17" Type="http://schemas.openxmlformats.org/officeDocument/2006/relationships/hyperlink" Target="mailto:ireyna@cemmthome.com" TargetMode="External"/><Relationship Id="rId33" Type="http://schemas.openxmlformats.org/officeDocument/2006/relationships/hyperlink" Target="mailto:javier.salazar@callawaygolf.com" TargetMode="External"/><Relationship Id="rId38" Type="http://schemas.openxmlformats.org/officeDocument/2006/relationships/hyperlink" Target="FIRMAS%20AUTORIZADAS\C011%20Carnes%20Finas%20de%20la%20Region.pdf" TargetMode="External"/><Relationship Id="rId59" Type="http://schemas.openxmlformats.org/officeDocument/2006/relationships/hyperlink" Target="mailto:ceahrs.ftsydh@uanl.mx" TargetMode="External"/><Relationship Id="rId103" Type="http://schemas.openxmlformats.org/officeDocument/2006/relationships/hyperlink" Target="mailto:Maribel.Serrano@carrier.com" TargetMode="External"/><Relationship Id="rId108" Type="http://schemas.openxmlformats.org/officeDocument/2006/relationships/hyperlink" Target="mailto:anapaola.estrada@cemex.com" TargetMode="External"/><Relationship Id="rId124" Type="http://schemas.openxmlformats.org/officeDocument/2006/relationships/hyperlink" Target="mailto:Administracion2@ccmrindustrias.com" TargetMode="External"/><Relationship Id="rId129" Type="http://schemas.openxmlformats.org/officeDocument/2006/relationships/hyperlink" Target="FIRMAS%20AUTORIZADAS\C040%20CENTRO%20DE%20AUTOSERVICIO%20LA%20ESPERANZA.pdf" TargetMode="External"/><Relationship Id="rId54" Type="http://schemas.openxmlformats.org/officeDocument/2006/relationships/hyperlink" Target="mailto:jorgeadrian.deosio@cemex.com" TargetMode="External"/><Relationship Id="rId70" Type="http://schemas.openxmlformats.org/officeDocument/2006/relationships/hyperlink" Target="FIRMAS%20AUTORIZADAS\C023%20CENTRO%20DE%20INVESTIGACI&#211;N%20EN%20PRODUCCI&#211;N%20AGROPECUARIA%20UANL.pdf" TargetMode="External"/><Relationship Id="rId75" Type="http://schemas.openxmlformats.org/officeDocument/2006/relationships/hyperlink" Target="mailto:gordonez@citrofrut.com" TargetMode="External"/><Relationship Id="rId91" Type="http://schemas.openxmlformats.org/officeDocument/2006/relationships/hyperlink" Target="mailto:brisa.martinez@crowncork.com.mx" TargetMode="External"/><Relationship Id="rId96" Type="http://schemas.openxmlformats.org/officeDocument/2006/relationships/hyperlink" Target="FIRMAS%20AUTORIZADAS\C030%20CROWN%20MEXICO.pdf" TargetMode="External"/><Relationship Id="rId140" Type="http://schemas.openxmlformats.org/officeDocument/2006/relationships/hyperlink" Target="FIRMAS%20AUTORIZADAS\C034%20Cold%20Jet%20Latinoamerica%20S%20de%20RL%20de%20CV.pdf" TargetMode="External"/><Relationship Id="rId145" Type="http://schemas.openxmlformats.org/officeDocument/2006/relationships/hyperlink" Target="mailto:contrata2@castelec.com" TargetMode="External"/><Relationship Id="rId161" Type="http://schemas.openxmlformats.org/officeDocument/2006/relationships/hyperlink" Target="mailto:miguel.salas@cyfcontadores.com" TargetMode="External"/><Relationship Id="rId166" Type="http://schemas.openxmlformats.org/officeDocument/2006/relationships/hyperlink" Target="mailto:luis.alvarado@mochs.com.mx" TargetMode="External"/><Relationship Id="rId182" Type="http://schemas.openxmlformats.org/officeDocument/2006/relationships/hyperlink" Target="mailto:avazquez@becariosmx.com" TargetMode="External"/><Relationship Id="rId187" Type="http://schemas.openxmlformats.org/officeDocument/2006/relationships/hyperlink" Target="mailto:angela.trevino@howmet.com" TargetMode="External"/><Relationship Id="rId1" Type="http://schemas.openxmlformats.org/officeDocument/2006/relationships/hyperlink" Target="mailto:Jonathan.juarezortiz@cat.com" TargetMode="External"/><Relationship Id="rId6" Type="http://schemas.openxmlformats.org/officeDocument/2006/relationships/hyperlink" Target="mailto:victoria.perez@cleber.com" TargetMode="External"/><Relationship Id="rId23" Type="http://schemas.openxmlformats.org/officeDocument/2006/relationships/hyperlink" Target="mailto:contreras@cruzrojanuevoleon.org" TargetMode="External"/><Relationship Id="rId28" Type="http://schemas.openxmlformats.org/officeDocument/2006/relationships/hyperlink" Target="FIRMAS%20AUTORIZADAS\C007%20CFE.pdf" TargetMode="External"/><Relationship Id="rId49" Type="http://schemas.openxmlformats.org/officeDocument/2006/relationships/hyperlink" Target="mailto:contaqbilidad2@cindemex.com" TargetMode="External"/><Relationship Id="rId114" Type="http://schemas.openxmlformats.org/officeDocument/2006/relationships/hyperlink" Target="mailto:rhumanos1@concordsupply.com" TargetMode="External"/><Relationship Id="rId119" Type="http://schemas.openxmlformats.org/officeDocument/2006/relationships/hyperlink" Target="mailto:tguillen@grupoasertax.mx" TargetMode="External"/><Relationship Id="rId44" Type="http://schemas.openxmlformats.org/officeDocument/2006/relationships/hyperlink" Target="FIRMAS%20AUTORIZADAS\C014%20CAVI.pdf" TargetMode="External"/><Relationship Id="rId60" Type="http://schemas.openxmlformats.org/officeDocument/2006/relationships/hyperlink" Target="FIRMAS%20AUTORIZADAS\C019%20Centro%20Acci&#243;n%20Humanista%20y%20Responsabilidad%20Social%20UANL.pdf" TargetMode="External"/><Relationship Id="rId65" Type="http://schemas.openxmlformats.org/officeDocument/2006/relationships/hyperlink" Target="mailto:mroque@colds.com.mx" TargetMode="External"/><Relationship Id="rId81" Type="http://schemas.openxmlformats.org/officeDocument/2006/relationships/hyperlink" Target="mailto:ahernandez@conttax.com.mx" TargetMode="External"/><Relationship Id="rId86" Type="http://schemas.openxmlformats.org/officeDocument/2006/relationships/hyperlink" Target="FIRMAS%20AUTORIZADAS\C028%20CYMM.pdf" TargetMode="External"/><Relationship Id="rId130" Type="http://schemas.openxmlformats.org/officeDocument/2006/relationships/hyperlink" Target="mailto:daniel.chapagd@uanl.edu.mx" TargetMode="External"/><Relationship Id="rId135" Type="http://schemas.openxmlformats.org/officeDocument/2006/relationships/hyperlink" Target="mailto:gerencia@comessa.com.mx" TargetMode="External"/><Relationship Id="rId151" Type="http://schemas.openxmlformats.org/officeDocument/2006/relationships/hyperlink" Target="mailto:yaresi.mata@coparmex.com" TargetMode="External"/><Relationship Id="rId156" Type="http://schemas.openxmlformats.org/officeDocument/2006/relationships/hyperlink" Target="mailto:ndelacruz@cinafunsa.com" TargetMode="External"/><Relationship Id="rId177" Type="http://schemas.openxmlformats.org/officeDocument/2006/relationships/hyperlink" Target="mailto:jazmin.lopez@calderonmarin.com" TargetMode="External"/><Relationship Id="rId198" Type="http://schemas.openxmlformats.org/officeDocument/2006/relationships/hyperlink" Target="FIRMAS%20AUTORIZADAS\C055%20COMERCIALIZADORA%20DE%20PESCADOS%20Y%20MARISCOS%20EL%20CHARAL.pdf" TargetMode="External"/><Relationship Id="rId172" Type="http://schemas.openxmlformats.org/officeDocument/2006/relationships/hyperlink" Target="FIRMAS%20AUTORIZADAS\C048%20CP%20&amp;%20A%20SC.pdf" TargetMode="External"/><Relationship Id="rId193" Type="http://schemas.openxmlformats.org/officeDocument/2006/relationships/hyperlink" Target="FIRMAS%20AUTORIZADAS\C053%20CARRAZCO%20&amp;%20ASOC.%20S.C..pdf" TargetMode="External"/><Relationship Id="rId202" Type="http://schemas.openxmlformats.org/officeDocument/2006/relationships/hyperlink" Target="mailto:info@sirocmx.com" TargetMode="External"/><Relationship Id="rId207" Type="http://schemas.openxmlformats.org/officeDocument/2006/relationships/hyperlink" Target="mailto:mescamilla@coparmexnl.mx" TargetMode="External"/><Relationship Id="rId13" Type="http://schemas.openxmlformats.org/officeDocument/2006/relationships/hyperlink" Target="mailto:Ivan.sifuentes@taro.mx" TargetMode="External"/><Relationship Id="rId18" Type="http://schemas.openxmlformats.org/officeDocument/2006/relationships/hyperlink" Target="mailto:mcastro@cemmthome.com" TargetMode="External"/><Relationship Id="rId39" Type="http://schemas.openxmlformats.org/officeDocument/2006/relationships/hyperlink" Target="mailto:lalanis@carone.com.mx" TargetMode="External"/><Relationship Id="rId109" Type="http://schemas.openxmlformats.org/officeDocument/2006/relationships/hyperlink" Target="mailto:efisher@coldjet.com" TargetMode="External"/><Relationship Id="rId34" Type="http://schemas.openxmlformats.org/officeDocument/2006/relationships/hyperlink" Target="mailto:jazmin.garcia@callawaygolf.com" TargetMode="External"/><Relationship Id="rId50" Type="http://schemas.openxmlformats.org/officeDocument/2006/relationships/hyperlink" Target="mailto:luisahdz@cindemex.com" TargetMode="External"/><Relationship Id="rId55" Type="http://schemas.openxmlformats.org/officeDocument/2006/relationships/hyperlink" Target="mailto:davidulises.rodriguez@cemex.com" TargetMode="External"/><Relationship Id="rId76" Type="http://schemas.openxmlformats.org/officeDocument/2006/relationships/hyperlink" Target="mailto:shaery.cabriales@citrofrut.com" TargetMode="External"/><Relationship Id="rId97" Type="http://schemas.openxmlformats.org/officeDocument/2006/relationships/hyperlink" Target="mailto:jonaclopez@outlook.com" TargetMode="External"/><Relationship Id="rId104" Type="http://schemas.openxmlformats.org/officeDocument/2006/relationships/hyperlink" Target="mailto:Marcelo.Segura@carrier.com" TargetMode="External"/><Relationship Id="rId120" Type="http://schemas.openxmlformats.org/officeDocument/2006/relationships/hyperlink" Target="mailto:felix.lazcano@cafeunamuno.com" TargetMode="External"/><Relationship Id="rId125" Type="http://schemas.openxmlformats.org/officeDocument/2006/relationships/hyperlink" Target="FIRMAS%20AUTORIZADAS\C039%20CCMR%20INDUSTRIAS.pdf" TargetMode="External"/><Relationship Id="rId141" Type="http://schemas.openxmlformats.org/officeDocument/2006/relationships/hyperlink" Target="FIRMAS%20AUTORIZADAS\C035%20CONCORD%20PACKAGING.pdf" TargetMode="External"/><Relationship Id="rId146" Type="http://schemas.openxmlformats.org/officeDocument/2006/relationships/hyperlink" Target="mailto:chavezduranyciaa@hotmail.com" TargetMode="External"/><Relationship Id="rId167" Type="http://schemas.openxmlformats.org/officeDocument/2006/relationships/hyperlink" Target="mailto:luis.alvarado@mochs.com.mx" TargetMode="External"/><Relationship Id="rId188" Type="http://schemas.openxmlformats.org/officeDocument/2006/relationships/hyperlink" Target="mailto:carlos.ayala@howmet.com" TargetMode="External"/><Relationship Id="rId7" Type="http://schemas.openxmlformats.org/officeDocument/2006/relationships/hyperlink" Target="mailto:lizbeth.hernandez@cleber.com" TargetMode="External"/><Relationship Id="rId71" Type="http://schemas.openxmlformats.org/officeDocument/2006/relationships/hyperlink" Target="mailto:johana.i.jaramillo@valspar.com" TargetMode="External"/><Relationship Id="rId92" Type="http://schemas.openxmlformats.org/officeDocument/2006/relationships/hyperlink" Target="mailto:keila.tejeda@crowncork.com.mx" TargetMode="External"/><Relationship Id="rId162" Type="http://schemas.openxmlformats.org/officeDocument/2006/relationships/hyperlink" Target="mailto:hugo.carrazco@cyfcontadores.com" TargetMode="External"/><Relationship Id="rId183" Type="http://schemas.openxmlformats.org/officeDocument/2006/relationships/hyperlink" Target="mailto:administracion@becariosmx.com" TargetMode="External"/><Relationship Id="rId2" Type="http://schemas.openxmlformats.org/officeDocument/2006/relationships/hyperlink" Target="FIRMAS%20AUTORIZADAS\C001%20CAT.pdf" TargetMode="External"/><Relationship Id="rId29" Type="http://schemas.openxmlformats.org/officeDocument/2006/relationships/hyperlink" Target="mailto:contacto@jaxi.com.mx" TargetMode="External"/><Relationship Id="rId24" Type="http://schemas.openxmlformats.org/officeDocument/2006/relationships/hyperlink" Target="mailto:contreras@cruzrojanuevoleon.org" TargetMode="External"/><Relationship Id="rId40" Type="http://schemas.openxmlformats.org/officeDocument/2006/relationships/hyperlink" Target="mailto:contrata2@castelec.com" TargetMode="External"/><Relationship Id="rId45" Type="http://schemas.openxmlformats.org/officeDocument/2006/relationships/hyperlink" Target="FIRMAS%20AUTORIZADAS\C012%20Car%20One%20Group.pdf" TargetMode="External"/><Relationship Id="rId66" Type="http://schemas.openxmlformats.org/officeDocument/2006/relationships/hyperlink" Target="FIRMAS%20AUTORIZADAS\C021%20COLDS.pdf" TargetMode="External"/><Relationship Id="rId87" Type="http://schemas.openxmlformats.org/officeDocument/2006/relationships/hyperlink" Target="mailto:imendieta@amcastle.com" TargetMode="External"/><Relationship Id="rId110" Type="http://schemas.openxmlformats.org/officeDocument/2006/relationships/hyperlink" Target="mailto:efisher@coldjet.com" TargetMode="External"/><Relationship Id="rId115" Type="http://schemas.openxmlformats.org/officeDocument/2006/relationships/hyperlink" Target="mailto:angeles.acosta@crediclub.com" TargetMode="External"/><Relationship Id="rId131" Type="http://schemas.openxmlformats.org/officeDocument/2006/relationships/hyperlink" Target="mailto:edgar.ruiz@christuscei.mx" TargetMode="External"/><Relationship Id="rId136" Type="http://schemas.openxmlformats.org/officeDocument/2006/relationships/hyperlink" Target="FIRMAS%20AUTORIZADAS\C042%20COMERCIALIZADORA%20DE%20EQUIPOS.pdf" TargetMode="External"/><Relationship Id="rId157" Type="http://schemas.openxmlformats.org/officeDocument/2006/relationships/hyperlink" Target="mailto:rgomez@cinafunsa.com" TargetMode="External"/><Relationship Id="rId178" Type="http://schemas.openxmlformats.org/officeDocument/2006/relationships/hyperlink" Target="mailto:jazmin.lopez@calderonmarin.com" TargetMode="External"/><Relationship Id="rId61" Type="http://schemas.openxmlformats.org/officeDocument/2006/relationships/hyperlink" Target="mailto:rodrigo.bada@cicsagzz.com" TargetMode="External"/><Relationship Id="rId82" Type="http://schemas.openxmlformats.org/officeDocument/2006/relationships/hyperlink" Target="FIRMAS%20AUTORIZADAS\C027%20COTAXX" TargetMode="External"/><Relationship Id="rId152" Type="http://schemas.openxmlformats.org/officeDocument/2006/relationships/hyperlink" Target="mailto:admin@montacargasservicios.com" TargetMode="External"/><Relationship Id="rId173" Type="http://schemas.openxmlformats.org/officeDocument/2006/relationships/hyperlink" Target="mailto:Jose.elizondo@iconn.com.mx" TargetMode="External"/><Relationship Id="rId194" Type="http://schemas.openxmlformats.org/officeDocument/2006/relationships/hyperlink" Target="mailto:Fernando.Hernandez@nsg-engineering.com" TargetMode="External"/><Relationship Id="rId199" Type="http://schemas.openxmlformats.org/officeDocument/2006/relationships/hyperlink" Target="mailto:rodrigo.bada@cicsagzz.com" TargetMode="External"/><Relationship Id="rId203" Type="http://schemas.openxmlformats.org/officeDocument/2006/relationships/hyperlink" Target="mailto:rodrigo.bada@cicsagzz.com" TargetMode="External"/><Relationship Id="rId208" Type="http://schemas.openxmlformats.org/officeDocument/2006/relationships/hyperlink" Target="mailto:mescamilla@coparmexnl.mx" TargetMode="External"/><Relationship Id="rId19" Type="http://schemas.openxmlformats.org/officeDocument/2006/relationships/hyperlink" Target="FIRMAS%20AUTORIZADAS\C006%20CEMM%20MEX.pdf" TargetMode="External"/><Relationship Id="rId14" Type="http://schemas.openxmlformats.org/officeDocument/2006/relationships/hyperlink" Target="mailto:yaresi.mata@copamex.com" TargetMode="External"/><Relationship Id="rId30" Type="http://schemas.openxmlformats.org/officeDocument/2006/relationships/hyperlink" Target="mailto:seguridadind@jaxi.com.mx" TargetMode="External"/><Relationship Id="rId35" Type="http://schemas.openxmlformats.org/officeDocument/2006/relationships/hyperlink" Target="FIRMAS%20AUTORIZADAS\C010%20CALLAWAY.pdf" TargetMode="External"/><Relationship Id="rId56" Type="http://schemas.openxmlformats.org/officeDocument/2006/relationships/hyperlink" Target="mailto:jorgeadrian.deosio@cemex.com" TargetMode="External"/><Relationship Id="rId77" Type="http://schemas.openxmlformats.org/officeDocument/2006/relationships/hyperlink" Target="FIRMAS%20AUTORIZADAS\C025%20Citrofrut.pdf" TargetMode="External"/><Relationship Id="rId100" Type="http://schemas.openxmlformats.org/officeDocument/2006/relationships/hyperlink" Target="mailto:esquivelvanessa812@gmail.com" TargetMode="External"/><Relationship Id="rId105" Type="http://schemas.openxmlformats.org/officeDocument/2006/relationships/hyperlink" Target="mailto:joseg.ezpinozar@cemex.com" TargetMode="External"/><Relationship Id="rId126" Type="http://schemas.openxmlformats.org/officeDocument/2006/relationships/hyperlink" Target="mailto:Esperanza.Solis.Hdz@gmail.com" TargetMode="External"/><Relationship Id="rId147" Type="http://schemas.openxmlformats.org/officeDocument/2006/relationships/hyperlink" Target="mailto:jsaldivar@csaldivar.com.mx" TargetMode="External"/><Relationship Id="rId168" Type="http://schemas.openxmlformats.org/officeDocument/2006/relationships/hyperlink" Target="FIRMAS%20AUTORIZADAS\C047%20COMERSA%20CNC%20STEEL%20SA%20DE%20CV.pdf" TargetMode="External"/><Relationship Id="rId8" Type="http://schemas.openxmlformats.org/officeDocument/2006/relationships/hyperlink" Target="mailto:victoria.perez@cleber.com" TargetMode="External"/><Relationship Id="rId51" Type="http://schemas.openxmlformats.org/officeDocument/2006/relationships/hyperlink" Target="FIRMAS%20AUTORIZADAS\C016%20CINDEMEX.pdf" TargetMode="External"/><Relationship Id="rId72" Type="http://schemas.openxmlformats.org/officeDocument/2006/relationships/hyperlink" Target="FIRMAS%20AUTORIZADAS\C024%20CIA%20Sherwin%20Willimas.pdf" TargetMode="External"/><Relationship Id="rId93" Type="http://schemas.openxmlformats.org/officeDocument/2006/relationships/hyperlink" Target="mailto:rhernandez@amcastle.com" TargetMode="External"/><Relationship Id="rId98" Type="http://schemas.openxmlformats.org/officeDocument/2006/relationships/hyperlink" Target="mailto:jonaclopez@outlook.com" TargetMode="External"/><Relationship Id="rId121" Type="http://schemas.openxmlformats.org/officeDocument/2006/relationships/hyperlink" Target="mailto:felix.lazcano@cafeunamuno.com" TargetMode="External"/><Relationship Id="rId142" Type="http://schemas.openxmlformats.org/officeDocument/2006/relationships/hyperlink" Target="FIRMAS%20AUTORIZADAS\C036%20Crediclub.pdf" TargetMode="External"/><Relationship Id="rId163" Type="http://schemas.openxmlformats.org/officeDocument/2006/relationships/hyperlink" Target="FIRMAS%20AUTORIZADAS\C045%20CYF%20CONTADORES%20Y%20ASESORES%20S.C..pdf" TargetMode="External"/><Relationship Id="rId184" Type="http://schemas.openxmlformats.org/officeDocument/2006/relationships/hyperlink" Target="mailto:agutierrez@becariosmx.com" TargetMode="External"/><Relationship Id="rId189" Type="http://schemas.openxmlformats.org/officeDocument/2006/relationships/hyperlink" Target="mailto:rodames.garcia@howmet.com" TargetMode="External"/><Relationship Id="rId3" Type="http://schemas.openxmlformats.org/officeDocument/2006/relationships/hyperlink" Target="mailto:momartinez@martinezabarca.com" TargetMode="External"/><Relationship Id="rId25" Type="http://schemas.openxmlformats.org/officeDocument/2006/relationships/hyperlink" Target="mailto:scharles@cruzrojanuevoleon.org" TargetMode="External"/><Relationship Id="rId46" Type="http://schemas.openxmlformats.org/officeDocument/2006/relationships/hyperlink" Target="FIRMAS%20AUTORIZADAS\C013%20Castelec%20Internacional.pdf" TargetMode="External"/><Relationship Id="rId67" Type="http://schemas.openxmlformats.org/officeDocument/2006/relationships/hyperlink" Target="mailto:adriana.hurtado@contourglobal.com" TargetMode="External"/><Relationship Id="rId116" Type="http://schemas.openxmlformats.org/officeDocument/2006/relationships/hyperlink" Target="mailto:angeles.acosta@crediclub.com" TargetMode="External"/><Relationship Id="rId137" Type="http://schemas.openxmlformats.org/officeDocument/2006/relationships/hyperlink" Target="FIRMAS%20AUTORIZADAS\C031%20CAPETILLO%20ASESORES,%20S.C..pdf" TargetMode="External"/><Relationship Id="rId158" Type="http://schemas.openxmlformats.org/officeDocument/2006/relationships/hyperlink" Target="mailto:rmendoza@cinafunsa.com" TargetMode="External"/><Relationship Id="rId20" Type="http://schemas.openxmlformats.org/officeDocument/2006/relationships/hyperlink" Target="FIRMAS%20AUTORIZADAS\C004%20COMERCIALIZADORA,%20SERVICIOS%20Y%20SUMINISTROS%20INDUSTRIALES%20TARO.pdf" TargetMode="External"/><Relationship Id="rId41" Type="http://schemas.openxmlformats.org/officeDocument/2006/relationships/hyperlink" Target="mailto:nominas@frutascavi.com" TargetMode="External"/><Relationship Id="rId62" Type="http://schemas.openxmlformats.org/officeDocument/2006/relationships/hyperlink" Target="mailto:rodrigo.bada@cicsagzz.com" TargetMode="External"/><Relationship Id="rId83" Type="http://schemas.openxmlformats.org/officeDocument/2006/relationships/hyperlink" Target="mailto:rvarela@cymm.com" TargetMode="External"/><Relationship Id="rId88" Type="http://schemas.openxmlformats.org/officeDocument/2006/relationships/hyperlink" Target="mailto:imendieta@amcastle.com" TargetMode="External"/><Relationship Id="rId111" Type="http://schemas.openxmlformats.org/officeDocument/2006/relationships/hyperlink" Target="mailto:cmontoya@coldjet.com" TargetMode="External"/><Relationship Id="rId132" Type="http://schemas.openxmlformats.org/officeDocument/2006/relationships/hyperlink" Target="FIRMAS%20AUTORIZADAS\C041%20CHRISTUS%20MUGUERZA.pdf" TargetMode="External"/><Relationship Id="rId153" Type="http://schemas.openxmlformats.org/officeDocument/2006/relationships/hyperlink" Target="mailto:servicios@coemsa.com" TargetMode="External"/><Relationship Id="rId174" Type="http://schemas.openxmlformats.org/officeDocument/2006/relationships/hyperlink" Target="mailto:Jose.elizondo@iconn.com.mx" TargetMode="External"/><Relationship Id="rId179" Type="http://schemas.openxmlformats.org/officeDocument/2006/relationships/hyperlink" Target="mailto:crista.garza@calderonmarin.com" TargetMode="External"/><Relationship Id="rId195" Type="http://schemas.openxmlformats.org/officeDocument/2006/relationships/hyperlink" Target="mailto:Francisco.Trevi&#241;o@nsg-engineering.com" TargetMode="External"/><Relationship Id="rId209" Type="http://schemas.openxmlformats.org/officeDocument/2006/relationships/hyperlink" Target="FIRMAS%20AUTORIZADAS\C058%20CENTRO%20PATRONAL%20DE%20NUEVO%20LE&#211;N-Coparmex%20Nuevo%20Le&#243;n.pdf" TargetMode="External"/><Relationship Id="rId190" Type="http://schemas.openxmlformats.org/officeDocument/2006/relationships/hyperlink" Target="FIRMAS%20AUTORIZADAS\C052%20COMERCIALIZADORA%20ALUMAX%20EXTRUSIONS%20MEXICO-HowMet%20Aerospace.pdf" TargetMode="External"/><Relationship Id="rId204" Type="http://schemas.openxmlformats.org/officeDocument/2006/relationships/hyperlink" Target="mailto:gerencia_rh@charal.com.mx" TargetMode="External"/><Relationship Id="rId15" Type="http://schemas.openxmlformats.org/officeDocument/2006/relationships/hyperlink" Target="mailto:yaresi.mata@copamex.com" TargetMode="External"/><Relationship Id="rId36" Type="http://schemas.openxmlformats.org/officeDocument/2006/relationships/hyperlink" Target="mailto:a-aranza10@hotmail.com" TargetMode="External"/><Relationship Id="rId57" Type="http://schemas.openxmlformats.org/officeDocument/2006/relationships/hyperlink" Target="mailto:joseg.espinozar@cemex.com" TargetMode="External"/><Relationship Id="rId106" Type="http://schemas.openxmlformats.org/officeDocument/2006/relationships/hyperlink" Target="mailto:joseg.ezpinozar@cemex.com" TargetMode="External"/><Relationship Id="rId127" Type="http://schemas.openxmlformats.org/officeDocument/2006/relationships/hyperlink" Target="mailto:angelMario2301@gmail.com" TargetMode="External"/><Relationship Id="rId10" Type="http://schemas.openxmlformats.org/officeDocument/2006/relationships/hyperlink" Target="mailto:zulema.gomez@taro.mx" TargetMode="External"/><Relationship Id="rId31" Type="http://schemas.openxmlformats.org/officeDocument/2006/relationships/hyperlink" Target="FIRMAS%20AUTORIZADAS\C009%20COMERCIALIZADORA%20INTERNACIONAL%20JAXI.pdf" TargetMode="External"/><Relationship Id="rId52" Type="http://schemas.openxmlformats.org/officeDocument/2006/relationships/hyperlink" Target="mailto:jsaldivar@csaldivar.com.mx" TargetMode="External"/><Relationship Id="rId73" Type="http://schemas.openxmlformats.org/officeDocument/2006/relationships/hyperlink" Target="mailto:cassandra.centella@citrofrut.com" TargetMode="External"/><Relationship Id="rId78" Type="http://schemas.openxmlformats.org/officeDocument/2006/relationships/hyperlink" Target="mailto:yaresi.mata@coparmex.com" TargetMode="External"/><Relationship Id="rId94" Type="http://schemas.openxmlformats.org/officeDocument/2006/relationships/hyperlink" Target="mailto:Brisa.martinez@crowcork.com.mx" TargetMode="External"/><Relationship Id="rId99" Type="http://schemas.openxmlformats.org/officeDocument/2006/relationships/hyperlink" Target="mailto:capetillo.asesores@gmail.com" TargetMode="External"/><Relationship Id="rId101" Type="http://schemas.openxmlformats.org/officeDocument/2006/relationships/hyperlink" Target="mailto:HugoAdrian.Flores@carrier.com" TargetMode="External"/><Relationship Id="rId122" Type="http://schemas.openxmlformats.org/officeDocument/2006/relationships/hyperlink" Target="FIRMAS%20AUTORIZADAS\C038%20Cometa%20Lab%20S.A.%20de%20C.V.%20-%20CAFE%20UNAMUNO.pdf" TargetMode="External"/><Relationship Id="rId143" Type="http://schemas.openxmlformats.org/officeDocument/2006/relationships/hyperlink" Target="FIRMAS%20AUTORIZADAS\C037%20Chavarria%20Esquivel%20y%20Asociados%20SC..pdf" TargetMode="External"/><Relationship Id="rId148" Type="http://schemas.openxmlformats.org/officeDocument/2006/relationships/hyperlink" Target="mailto:ceahrs.ftsydh@uanl.mx" TargetMode="External"/><Relationship Id="rId164" Type="http://schemas.openxmlformats.org/officeDocument/2006/relationships/hyperlink" Target="mailto:edgar.ruiz@christuscei.mx" TargetMode="External"/><Relationship Id="rId169" Type="http://schemas.openxmlformats.org/officeDocument/2006/relationships/hyperlink" Target="mailto:Melissa.bahena@cpamty.com" TargetMode="External"/><Relationship Id="rId185" Type="http://schemas.openxmlformats.org/officeDocument/2006/relationships/hyperlink" Target="FIRMAS%20AUTORIZADAS\C051%20CKT%20CAPITAL%20HUMANO-Becarios%20mx.pdf" TargetMode="External"/><Relationship Id="rId4" Type="http://schemas.openxmlformats.org/officeDocument/2006/relationships/hyperlink" Target="mailto:momartinez@martinezabarca.com" TargetMode="External"/><Relationship Id="rId9" Type="http://schemas.openxmlformats.org/officeDocument/2006/relationships/hyperlink" Target="FIRMAS%20AUTORIZADAS\C003%20CLEBER.pdf" TargetMode="External"/><Relationship Id="rId180" Type="http://schemas.openxmlformats.org/officeDocument/2006/relationships/hyperlink" Target="FIRMAS%20AUTORIZADAS\C050%20CALDERON%20&amp;%20CALDERON%20BUSINESS%20CONSULTING.pdf" TargetMode="External"/><Relationship Id="rId210" Type="http://schemas.openxmlformats.org/officeDocument/2006/relationships/printerSettings" Target="../printerSettings/printerSettings4.bin"/><Relationship Id="rId26" Type="http://schemas.openxmlformats.org/officeDocument/2006/relationships/hyperlink" Target="mailto:prenomina@cruzrojanuevoleon.org" TargetMode="External"/><Relationship Id="rId47" Type="http://schemas.openxmlformats.org/officeDocument/2006/relationships/hyperlink" Target="mailto:chavezduranyciaa@hotmail.com" TargetMode="External"/><Relationship Id="rId68" Type="http://schemas.openxmlformats.org/officeDocument/2006/relationships/hyperlink" Target="FIRMAS%20AUTORIZADAS\C022%20ContourGlobal.pdf" TargetMode="External"/><Relationship Id="rId89" Type="http://schemas.openxmlformats.org/officeDocument/2006/relationships/hyperlink" Target="mailto:mnavarro@amcastle.com" TargetMode="External"/><Relationship Id="rId112" Type="http://schemas.openxmlformats.org/officeDocument/2006/relationships/hyperlink" Target="mailto:reclutadormx@concordsupply.com" TargetMode="External"/><Relationship Id="rId133" Type="http://schemas.openxmlformats.org/officeDocument/2006/relationships/hyperlink" Target="mailto:gerencia@comessa.com.mx" TargetMode="External"/><Relationship Id="rId154" Type="http://schemas.openxmlformats.org/officeDocument/2006/relationships/hyperlink" Target="FIRMAS%20AUTORIZADAS\C043%20COEMSA%20Montacargas.pdf" TargetMode="External"/><Relationship Id="rId175" Type="http://schemas.openxmlformats.org/officeDocument/2006/relationships/hyperlink" Target="FIRMAS%20AUTORIZADAS\C049%20CS%20ICONN.pdf" TargetMode="External"/><Relationship Id="rId196" Type="http://schemas.openxmlformats.org/officeDocument/2006/relationships/hyperlink" Target="FIRMAS%20AUTORIZADAS\C054%20CENTRO%20DE%20TECNOLOGIA%20NSG-NSG%20M&#233;xico.pdf" TargetMode="External"/><Relationship Id="rId200" Type="http://schemas.openxmlformats.org/officeDocument/2006/relationships/hyperlink" Target="FIRMAS%20AUTORIZADAS\C056%20CONSORCIO%20INDUSTRIAL%20CADEREYTA%20-CICSA.pdf" TargetMode="External"/><Relationship Id="rId16" Type="http://schemas.openxmlformats.org/officeDocument/2006/relationships/hyperlink" Target="mailto:mcastro@cemmthome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cphumbertoleal@despacholeallopez.com" TargetMode="External"/><Relationship Id="rId18" Type="http://schemas.openxmlformats.org/officeDocument/2006/relationships/hyperlink" Target="mailto:anel21@gmail.com" TargetMode="External"/><Relationship Id="rId26" Type="http://schemas.openxmlformats.org/officeDocument/2006/relationships/hyperlink" Target="FIRMAS%20AUTORIZADAS\D007%20DESPACHO%20VARGAS%20VALDEZ%20&amp;%20ASOCIADOS.pdf" TargetMode="External"/><Relationship Id="rId39" Type="http://schemas.openxmlformats.org/officeDocument/2006/relationships/hyperlink" Target="mailto:marisol.garcia@decoseguros.com.mx" TargetMode="External"/><Relationship Id="rId21" Type="http://schemas.openxmlformats.org/officeDocument/2006/relationships/hyperlink" Target="mailto:roberto@optimuscontadores.com.mx" TargetMode="External"/><Relationship Id="rId34" Type="http://schemas.openxmlformats.org/officeDocument/2006/relationships/hyperlink" Target="mailto:facturacion@defasesores.com" TargetMode="External"/><Relationship Id="rId42" Type="http://schemas.openxmlformats.org/officeDocument/2006/relationships/hyperlink" Target="FIRMAS%20AUTORIZADAS\D009%20DESPACHO%20Impuestos%20360.pdf" TargetMode="External"/><Relationship Id="rId47" Type="http://schemas.openxmlformats.org/officeDocument/2006/relationships/hyperlink" Target="mailto:ana.medina@na.denso.com" TargetMode="External"/><Relationship Id="rId50" Type="http://schemas.openxmlformats.org/officeDocument/2006/relationships/hyperlink" Target="mailto:montemayordespacho@gmail.com" TargetMode="External"/><Relationship Id="rId55" Type="http://schemas.openxmlformats.org/officeDocument/2006/relationships/hyperlink" Target="FIRMAS%20AUTORIZADAS\D015%20Direcci&#243;n%20de%20Auditor&#237;a%20Interna%20de%20la%20U.A.N.L..pdf" TargetMode="External"/><Relationship Id="rId63" Type="http://schemas.openxmlformats.org/officeDocument/2006/relationships/hyperlink" Target="FIRMAS%20AUTORIZADAS\D018%20DON%20DESPENSA%20SA%20DE%20CV.pdf" TargetMode="External"/><Relationship Id="rId68" Type="http://schemas.openxmlformats.org/officeDocument/2006/relationships/hyperlink" Target="FIRMAS%20AUTORIZADAS\D020%20DELISAZON.pdf" TargetMode="External"/><Relationship Id="rId76" Type="http://schemas.openxmlformats.org/officeDocument/2006/relationships/hyperlink" Target="mailto:dieibarra28@gmail,com" TargetMode="External"/><Relationship Id="rId84" Type="http://schemas.openxmlformats.org/officeDocument/2006/relationships/hyperlink" Target="mailto:manaya271066@hotmail.com" TargetMode="External"/><Relationship Id="rId89" Type="http://schemas.openxmlformats.org/officeDocument/2006/relationships/hyperlink" Target="mailto:smjortega@deacero.com" TargetMode="External"/><Relationship Id="rId7" Type="http://schemas.openxmlformats.org/officeDocument/2006/relationships/hyperlink" Target="mailto:yesenia.hernandez@dequimsa.com" TargetMode="External"/><Relationship Id="rId71" Type="http://schemas.openxmlformats.org/officeDocument/2006/relationships/hyperlink" Target="mailto:javier.cuellar@danfoss.com" TargetMode="External"/><Relationship Id="rId92" Type="http://schemas.openxmlformats.org/officeDocument/2006/relationships/hyperlink" Target="FIRMAS%20AUTORIZADAS\D025%20DEACERO%20SAPI.pdf" TargetMode="External"/><Relationship Id="rId2" Type="http://schemas.openxmlformats.org/officeDocument/2006/relationships/hyperlink" Target="mailto:m.jacome@deltasolutions.mx" TargetMode="External"/><Relationship Id="rId16" Type="http://schemas.openxmlformats.org/officeDocument/2006/relationships/hyperlink" Target="mailto:cp_despacho05@yahoo.com.mx" TargetMode="External"/><Relationship Id="rId29" Type="http://schemas.openxmlformats.org/officeDocument/2006/relationships/hyperlink" Target="FIRMAS%20AUTORIZADAS\D008%20DISTRIBUIDORA%20DE%20ENLACES%20ELECTRONICOS.pdf" TargetMode="External"/><Relationship Id="rId11" Type="http://schemas.openxmlformats.org/officeDocument/2006/relationships/hyperlink" Target="FIRMAS%20AUTORIZADAS\D003%20DESPACHO%20K%20FACIL%20CONTADORES.pdf" TargetMode="External"/><Relationship Id="rId24" Type="http://schemas.openxmlformats.org/officeDocument/2006/relationships/hyperlink" Target="FIRMAS%20AUTORIZADAS\D006%20DESPACHO%20Optimus%20Contadores.pdf" TargetMode="External"/><Relationship Id="rId32" Type="http://schemas.openxmlformats.org/officeDocument/2006/relationships/hyperlink" Target="mailto:administracion@defasesores.com" TargetMode="External"/><Relationship Id="rId37" Type="http://schemas.openxmlformats.org/officeDocument/2006/relationships/hyperlink" Target="mailto:marisol.garcia@decoseguros.com.mx" TargetMode="External"/><Relationship Id="rId40" Type="http://schemas.openxmlformats.org/officeDocument/2006/relationships/hyperlink" Target="mailto:omar.vidales@decoseguros.com.mx" TargetMode="External"/><Relationship Id="rId45" Type="http://schemas.openxmlformats.org/officeDocument/2006/relationships/hyperlink" Target="mailto:alancontreras@vargasvaldes.com" TargetMode="External"/><Relationship Id="rId53" Type="http://schemas.openxmlformats.org/officeDocument/2006/relationships/hyperlink" Target="FIRMAS%20AUTORIZADAS\D014%20Danfoss.pdf" TargetMode="External"/><Relationship Id="rId58" Type="http://schemas.openxmlformats.org/officeDocument/2006/relationships/hyperlink" Target="mailto:david.garciaw@uanl.mx" TargetMode="External"/><Relationship Id="rId66" Type="http://schemas.openxmlformats.org/officeDocument/2006/relationships/hyperlink" Target="FIRMAS%20AUTORIZADAS\Doosan%20Bobcat.pdf" TargetMode="External"/><Relationship Id="rId74" Type="http://schemas.openxmlformats.org/officeDocument/2006/relationships/hyperlink" Target="mailto:Dma.auxiliar1@gmail.com" TargetMode="External"/><Relationship Id="rId79" Type="http://schemas.openxmlformats.org/officeDocument/2006/relationships/hyperlink" Target="FIRMAS%20AUTORIZADAS\D022%20DIEGO%20IVAN%20IBARRA%20ALDANA-BM%20Asesores.pdf" TargetMode="External"/><Relationship Id="rId87" Type="http://schemas.openxmlformats.org/officeDocument/2006/relationships/hyperlink" Target="FIRMAS%20AUTORIZADAS\D024%20DIOCESIS%20DE%20LINARES.pdf" TargetMode="External"/><Relationship Id="rId5" Type="http://schemas.openxmlformats.org/officeDocument/2006/relationships/hyperlink" Target="FIRMAS%20AUTORIZADAS\D001%20DELTA%20RADIOCOMUNICACION.pdf" TargetMode="External"/><Relationship Id="rId61" Type="http://schemas.openxmlformats.org/officeDocument/2006/relationships/hyperlink" Target="FIRMAS%20AUTORIZADAS\D017%20DIRECCION%20DE%20EDUCACION%20DIGITAL.pdf" TargetMode="External"/><Relationship Id="rId82" Type="http://schemas.openxmlformats.org/officeDocument/2006/relationships/hyperlink" Target="mailto:trevinogarzacontadores@hotmail.com" TargetMode="External"/><Relationship Id="rId90" Type="http://schemas.openxmlformats.org/officeDocument/2006/relationships/hyperlink" Target="mailto:anlflores@deacero.com" TargetMode="External"/><Relationship Id="rId95" Type="http://schemas.openxmlformats.org/officeDocument/2006/relationships/table" Target="../tables/table5.xml"/><Relationship Id="rId19" Type="http://schemas.openxmlformats.org/officeDocument/2006/relationships/hyperlink" Target="FIRMAS%20AUTORIZADAS\D005%20DESPACHO%20MARTINIANO%20LOZANO%20GONZALEZ.pdf" TargetMode="External"/><Relationship Id="rId14" Type="http://schemas.openxmlformats.org/officeDocument/2006/relationships/hyperlink" Target="mailto:gracielalgodoy@despacholeallopez.com" TargetMode="External"/><Relationship Id="rId22" Type="http://schemas.openxmlformats.org/officeDocument/2006/relationships/hyperlink" Target="mailto:roma86@optimuscontadores.com.mx" TargetMode="External"/><Relationship Id="rId27" Type="http://schemas.openxmlformats.org/officeDocument/2006/relationships/hyperlink" Target="mailto:rrhh@dielsa.com" TargetMode="External"/><Relationship Id="rId30" Type="http://schemas.openxmlformats.org/officeDocument/2006/relationships/hyperlink" Target="mailto:cpalacios@impuestos360.com.mx" TargetMode="External"/><Relationship Id="rId35" Type="http://schemas.openxmlformats.org/officeDocument/2006/relationships/hyperlink" Target="mailto:cesar@defasesores.com" TargetMode="External"/><Relationship Id="rId43" Type="http://schemas.openxmlformats.org/officeDocument/2006/relationships/hyperlink" Target="mailto:keniahernandez@vargasvaldes.com" TargetMode="External"/><Relationship Id="rId48" Type="http://schemas.openxmlformats.org/officeDocument/2006/relationships/hyperlink" Target="mailto:ileana.cruz@na.denso.com" TargetMode="External"/><Relationship Id="rId56" Type="http://schemas.openxmlformats.org/officeDocument/2006/relationships/hyperlink" Target="mailto:angel.gomez@draxon.mx" TargetMode="External"/><Relationship Id="rId64" Type="http://schemas.openxmlformats.org/officeDocument/2006/relationships/hyperlink" Target="mailto:anahi.avila@doosan.com" TargetMode="External"/><Relationship Id="rId69" Type="http://schemas.openxmlformats.org/officeDocument/2006/relationships/hyperlink" Target="mailto:i&#241;akimb@pollomaton.com" TargetMode="External"/><Relationship Id="rId77" Type="http://schemas.openxmlformats.org/officeDocument/2006/relationships/hyperlink" Target="mailto:dieibarra28@gmail,com" TargetMode="External"/><Relationship Id="rId8" Type="http://schemas.openxmlformats.org/officeDocument/2006/relationships/hyperlink" Target="FIRMAS%20AUTORIZADAS\D002%20DESARROLLOS%20QU&#205;MICOS%20MUNDIALES.pdf" TargetMode="External"/><Relationship Id="rId51" Type="http://schemas.openxmlformats.org/officeDocument/2006/relationships/hyperlink" Target="FIRMAS%20AUTORIZADAS\D013%20DESPACHO%20MONTEMAYOR.pdf" TargetMode="External"/><Relationship Id="rId72" Type="http://schemas.openxmlformats.org/officeDocument/2006/relationships/hyperlink" Target="mailto:angel.gomez@draxon.mx" TargetMode="External"/><Relationship Id="rId80" Type="http://schemas.openxmlformats.org/officeDocument/2006/relationships/hyperlink" Target="mailto:aryameliza@hotmail.com" TargetMode="External"/><Relationship Id="rId85" Type="http://schemas.openxmlformats.org/officeDocument/2006/relationships/hyperlink" Target="mailto:manaya271066@hotmail.com" TargetMode="External"/><Relationship Id="rId93" Type="http://schemas.openxmlformats.org/officeDocument/2006/relationships/hyperlink" Target="mailto:perla.chaviratq@uanl.mx" TargetMode="External"/><Relationship Id="rId3" Type="http://schemas.openxmlformats.org/officeDocument/2006/relationships/hyperlink" Target="mailto:d.perez@deltasolutions.mx" TargetMode="External"/><Relationship Id="rId12" Type="http://schemas.openxmlformats.org/officeDocument/2006/relationships/hyperlink" Target="mailto:cphumbertoleal@despacholeallopez.com" TargetMode="External"/><Relationship Id="rId17" Type="http://schemas.openxmlformats.org/officeDocument/2006/relationships/hyperlink" Target="mailto:cp_despacho05@yahoo.com.mx" TargetMode="External"/><Relationship Id="rId25" Type="http://schemas.openxmlformats.org/officeDocument/2006/relationships/hyperlink" Target="mailto:alancontreras@vargasvaldes.com" TargetMode="External"/><Relationship Id="rId33" Type="http://schemas.openxmlformats.org/officeDocument/2006/relationships/hyperlink" Target="mailto:administracion@defasesores.com" TargetMode="External"/><Relationship Id="rId38" Type="http://schemas.openxmlformats.org/officeDocument/2006/relationships/hyperlink" Target="mailto:reclutamiento@decoseguros.com.mx" TargetMode="External"/><Relationship Id="rId46" Type="http://schemas.openxmlformats.org/officeDocument/2006/relationships/hyperlink" Target="mailto:alejandra.montoya@na.denso.com" TargetMode="External"/><Relationship Id="rId59" Type="http://schemas.openxmlformats.org/officeDocument/2006/relationships/hyperlink" Target="mailto:leticia.martinez@uanl.mx" TargetMode="External"/><Relationship Id="rId67" Type="http://schemas.openxmlformats.org/officeDocument/2006/relationships/hyperlink" Target="mailto:i&#241;akimb@pollomaton.com" TargetMode="External"/><Relationship Id="rId20" Type="http://schemas.openxmlformats.org/officeDocument/2006/relationships/hyperlink" Target="mailto:roberto@optimuscontadores.com.mx" TargetMode="External"/><Relationship Id="rId41" Type="http://schemas.openxmlformats.org/officeDocument/2006/relationships/hyperlink" Target="FIRMAS%20AUTORIZADAS\D011%20DECO%20SEGUROS.pdf" TargetMode="External"/><Relationship Id="rId54" Type="http://schemas.openxmlformats.org/officeDocument/2006/relationships/hyperlink" Target="mailto:nydia.herrera@uanl.com" TargetMode="External"/><Relationship Id="rId62" Type="http://schemas.openxmlformats.org/officeDocument/2006/relationships/hyperlink" Target="mailto:diegogava92@hotmail.com" TargetMode="External"/><Relationship Id="rId70" Type="http://schemas.openxmlformats.org/officeDocument/2006/relationships/hyperlink" Target="mailto:montemayordespacho@gmail.com" TargetMode="External"/><Relationship Id="rId75" Type="http://schemas.openxmlformats.org/officeDocument/2006/relationships/hyperlink" Target="FIRMAS%20AUTORIZADAS\D021%20Daniel%20Moreno%20y%20Asociados%20SC.pdf" TargetMode="External"/><Relationship Id="rId83" Type="http://schemas.openxmlformats.org/officeDocument/2006/relationships/hyperlink" Target="FIRMAS%20AUTORIZADAS\D023%20DESPACHO%20TREVI&#209;O%20GARZA%20CONTADORES.pdf" TargetMode="External"/><Relationship Id="rId88" Type="http://schemas.openxmlformats.org/officeDocument/2006/relationships/hyperlink" Target="mailto:smjortega@deacero.com" TargetMode="External"/><Relationship Id="rId91" Type="http://schemas.openxmlformats.org/officeDocument/2006/relationships/hyperlink" Target="mailto:mledezma@deacero.com" TargetMode="External"/><Relationship Id="rId1" Type="http://schemas.openxmlformats.org/officeDocument/2006/relationships/hyperlink" Target="mailto:I.lopez@deltasolutions.mx" TargetMode="External"/><Relationship Id="rId6" Type="http://schemas.openxmlformats.org/officeDocument/2006/relationships/hyperlink" Target="mailto:yesenia.hernandez@dequimsa.com" TargetMode="External"/><Relationship Id="rId15" Type="http://schemas.openxmlformats.org/officeDocument/2006/relationships/hyperlink" Target="FIRMAS%20AUTORIZADAS\D004%20DESPACHO%20LEAL%20LOPEZ%20Y%20ASOCIADOS%20SC.pdf" TargetMode="External"/><Relationship Id="rId23" Type="http://schemas.openxmlformats.org/officeDocument/2006/relationships/hyperlink" Target="mailto:jorm83@optimuscontadores.com.mx" TargetMode="External"/><Relationship Id="rId28" Type="http://schemas.openxmlformats.org/officeDocument/2006/relationships/hyperlink" Target="mailto:rrhh@dielsa.com" TargetMode="External"/><Relationship Id="rId36" Type="http://schemas.openxmlformats.org/officeDocument/2006/relationships/hyperlink" Target="FIRMAS%20AUTORIZADAS\D010%20DEF%20ASESORES.pdf" TargetMode="External"/><Relationship Id="rId49" Type="http://schemas.openxmlformats.org/officeDocument/2006/relationships/hyperlink" Target="FIRMAS%20AUTORIZADAS\D012%20DENSO.pdf" TargetMode="External"/><Relationship Id="rId57" Type="http://schemas.openxmlformats.org/officeDocument/2006/relationships/hyperlink" Target="FIRMAS%20AUTORIZADAS\D016%20DRAXON.pdf" TargetMode="External"/><Relationship Id="rId10" Type="http://schemas.openxmlformats.org/officeDocument/2006/relationships/hyperlink" Target="mailto:bcarrizales@fintaxcontadores.com" TargetMode="External"/><Relationship Id="rId31" Type="http://schemas.openxmlformats.org/officeDocument/2006/relationships/hyperlink" Target="mailto:cpalacios@impuestos360.com.mx" TargetMode="External"/><Relationship Id="rId44" Type="http://schemas.openxmlformats.org/officeDocument/2006/relationships/hyperlink" Target="mailto:oscarhidalgo@vargasvaldes.com" TargetMode="External"/><Relationship Id="rId52" Type="http://schemas.openxmlformats.org/officeDocument/2006/relationships/hyperlink" Target="mailto:javier.cuellar@danfoss.com" TargetMode="External"/><Relationship Id="rId60" Type="http://schemas.openxmlformats.org/officeDocument/2006/relationships/hyperlink" Target="mailto:david.garciaw@uanl.mx" TargetMode="External"/><Relationship Id="rId65" Type="http://schemas.openxmlformats.org/officeDocument/2006/relationships/hyperlink" Target="mailto:anahi.avila@doosan.com" TargetMode="External"/><Relationship Id="rId73" Type="http://schemas.openxmlformats.org/officeDocument/2006/relationships/hyperlink" Target="mailto:Francisco.morales@dma.com.mx" TargetMode="External"/><Relationship Id="rId78" Type="http://schemas.openxmlformats.org/officeDocument/2006/relationships/hyperlink" Target="mailto:bmarintamez@gmail.com" TargetMode="External"/><Relationship Id="rId81" Type="http://schemas.openxmlformats.org/officeDocument/2006/relationships/hyperlink" Target="mailto:aryameliza@hotmail.com" TargetMode="External"/><Relationship Id="rId86" Type="http://schemas.openxmlformats.org/officeDocument/2006/relationships/hyperlink" Target="mailto:nominaseconomiadiocesana@gmail.com" TargetMode="External"/><Relationship Id="rId94" Type="http://schemas.openxmlformats.org/officeDocument/2006/relationships/printerSettings" Target="../printerSettings/printerSettings5.bin"/><Relationship Id="rId4" Type="http://schemas.openxmlformats.org/officeDocument/2006/relationships/hyperlink" Target="mailto:I.lopez@deltasolutions.mx" TargetMode="External"/><Relationship Id="rId9" Type="http://schemas.openxmlformats.org/officeDocument/2006/relationships/hyperlink" Target="mailto:fernandez@fintaxcontadores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a.villarreal@grupoennea.com" TargetMode="External"/><Relationship Id="rId18" Type="http://schemas.openxmlformats.org/officeDocument/2006/relationships/hyperlink" Target="FIRMAS%20AUTORIZADAS\E004%20EMPIRE%20NATIONAL%20INC.pdf" TargetMode="External"/><Relationship Id="rId26" Type="http://schemas.openxmlformats.org/officeDocument/2006/relationships/hyperlink" Target="mailto:Alfonso.tamez@esab.com" TargetMode="External"/><Relationship Id="rId39" Type="http://schemas.openxmlformats.org/officeDocument/2006/relationships/hyperlink" Target="mailto:edgarguadalupequirozsendejo@gmail.com" TargetMode="External"/><Relationship Id="rId21" Type="http://schemas.openxmlformats.org/officeDocument/2006/relationships/hyperlink" Target="mailto:david.granados@alterax.com.mx" TargetMode="External"/><Relationship Id="rId34" Type="http://schemas.openxmlformats.org/officeDocument/2006/relationships/hyperlink" Target="mailto:complementos@eltexano.com" TargetMode="External"/><Relationship Id="rId42" Type="http://schemas.openxmlformats.org/officeDocument/2006/relationships/hyperlink" Target="mailto:facturaciongaae@gmail.com" TargetMode="External"/><Relationship Id="rId47" Type="http://schemas.openxmlformats.org/officeDocument/2006/relationships/hyperlink" Target="FIRMAS%20AUTORIZADAS\E012%207%20ELEVEN%20MEXICO%20SA%20DE%20CV.pdf" TargetMode="External"/><Relationship Id="rId50" Type="http://schemas.openxmlformats.org/officeDocument/2006/relationships/hyperlink" Target="mailto:edith.estrada@atline.mx" TargetMode="External"/><Relationship Id="rId55" Type="http://schemas.openxmlformats.org/officeDocument/2006/relationships/hyperlink" Target="FIRMAS%20AUTORIZADAS\E014%20EMPACADOS%20SA%20DE%20CV.pdf" TargetMode="External"/><Relationship Id="rId63" Type="http://schemas.openxmlformats.org/officeDocument/2006/relationships/hyperlink" Target="FIRMAS%20AUTORIZADAS\E016%20EQUIPO%20AUTOMOTRIZ%20AMERICANA-Joyson%20Safety%20Systems.pdf" TargetMode="External"/><Relationship Id="rId68" Type="http://schemas.openxmlformats.org/officeDocument/2006/relationships/hyperlink" Target="mailto:administracion@serviciosecem.com.mx" TargetMode="External"/><Relationship Id="rId7" Type="http://schemas.openxmlformats.org/officeDocument/2006/relationships/hyperlink" Target="mailto:contralor@enviaflores.com" TargetMode="External"/><Relationship Id="rId71" Type="http://schemas.openxmlformats.org/officeDocument/2006/relationships/printerSettings" Target="../printerSettings/printerSettings6.bin"/><Relationship Id="rId2" Type="http://schemas.openxmlformats.org/officeDocument/2006/relationships/hyperlink" Target="mailto:samanthasanchez@energycooler.com" TargetMode="External"/><Relationship Id="rId16" Type="http://schemas.openxmlformats.org/officeDocument/2006/relationships/hyperlink" Target="mailto:hernanib@empirenaqtional.com" TargetMode="External"/><Relationship Id="rId29" Type="http://schemas.openxmlformats.org/officeDocument/2006/relationships/hyperlink" Target="mailto:acabrera@estrategiasyasesores.com" TargetMode="External"/><Relationship Id="rId1" Type="http://schemas.openxmlformats.org/officeDocument/2006/relationships/hyperlink" Target="mailto:samanthasanchez@energycooler.com" TargetMode="External"/><Relationship Id="rId6" Type="http://schemas.openxmlformats.org/officeDocument/2006/relationships/hyperlink" Target="mailto:contralor@enviaflores.com" TargetMode="External"/><Relationship Id="rId11" Type="http://schemas.openxmlformats.org/officeDocument/2006/relationships/hyperlink" Target="mailto:maria.rivera@grupoennea.com" TargetMode="External"/><Relationship Id="rId24" Type="http://schemas.openxmlformats.org/officeDocument/2006/relationships/hyperlink" Target="mailto:Sergio.Cuellar@vertiv.com" TargetMode="External"/><Relationship Id="rId32" Type="http://schemas.openxmlformats.org/officeDocument/2006/relationships/hyperlink" Target="mailto:aalonso@estrategiasyasesores.com" TargetMode="External"/><Relationship Id="rId37" Type="http://schemas.openxmlformats.org/officeDocument/2006/relationships/hyperlink" Target="FIRMAS%20AUTORIZADAS\E009%20El%20Texano.pdf" TargetMode="External"/><Relationship Id="rId40" Type="http://schemas.openxmlformats.org/officeDocument/2006/relationships/hyperlink" Target="mailto:alejandra.aguirre99@hotmail.com" TargetMode="External"/><Relationship Id="rId45" Type="http://schemas.openxmlformats.org/officeDocument/2006/relationships/hyperlink" Target="mailto:jose.elizondo@iconn.com.mx" TargetMode="External"/><Relationship Id="rId53" Type="http://schemas.openxmlformats.org/officeDocument/2006/relationships/hyperlink" Target="mailto:aux2.rh@empacados.com" TargetMode="External"/><Relationship Id="rId58" Type="http://schemas.openxmlformats.org/officeDocument/2006/relationships/hyperlink" Target="mailto:roberta.hernandez@epicor.com" TargetMode="External"/><Relationship Id="rId66" Type="http://schemas.openxmlformats.org/officeDocument/2006/relationships/hyperlink" Target="mailto:administracion@serviciosecem.com.mx" TargetMode="External"/><Relationship Id="rId5" Type="http://schemas.openxmlformats.org/officeDocument/2006/relationships/hyperlink" Target="FIRMAS%20AUTORIZADAS\E001%20ENERGY%20COOLER%20GREEN,%20S.A.%20DE%20C.V..pdf" TargetMode="External"/><Relationship Id="rId15" Type="http://schemas.openxmlformats.org/officeDocument/2006/relationships/hyperlink" Target="mailto:hernanib@empirenaqtional.com" TargetMode="External"/><Relationship Id="rId23" Type="http://schemas.openxmlformats.org/officeDocument/2006/relationships/hyperlink" Target="FIRMAS%20AUTORIZADAS\E005%20EXPERTOS%20EN%20NEGOCIOS%20IUS%20SA%20DE%20CV.pdf" TargetMode="External"/><Relationship Id="rId28" Type="http://schemas.openxmlformats.org/officeDocument/2006/relationships/hyperlink" Target="mailto:Alfonso.tamez@esab.com" TargetMode="External"/><Relationship Id="rId36" Type="http://schemas.openxmlformats.org/officeDocument/2006/relationships/hyperlink" Target="FIRMAS%20AUTORIZADAS\E007%20ESAB.pdf" TargetMode="External"/><Relationship Id="rId49" Type="http://schemas.openxmlformats.org/officeDocument/2006/relationships/hyperlink" Target="mailto:elizabeth.banda@atline.com" TargetMode="External"/><Relationship Id="rId57" Type="http://schemas.openxmlformats.org/officeDocument/2006/relationships/hyperlink" Target="mailto:Martin.garcia@epicor.com" TargetMode="External"/><Relationship Id="rId61" Type="http://schemas.openxmlformats.org/officeDocument/2006/relationships/hyperlink" Target="mailto:Alexis.velez@joysonsafety.com" TargetMode="External"/><Relationship Id="rId10" Type="http://schemas.openxmlformats.org/officeDocument/2006/relationships/hyperlink" Target="FIRMAS%20AUTORIZADAS\E002%20ENVIAFLORES.pdf" TargetMode="External"/><Relationship Id="rId19" Type="http://schemas.openxmlformats.org/officeDocument/2006/relationships/hyperlink" Target="mailto:gissel.gallegos@alterax.com.mx" TargetMode="External"/><Relationship Id="rId31" Type="http://schemas.openxmlformats.org/officeDocument/2006/relationships/hyperlink" Target="mailto:czu&#241;iga@estrategiasyasesores.com" TargetMode="External"/><Relationship Id="rId44" Type="http://schemas.openxmlformats.org/officeDocument/2006/relationships/hyperlink" Target="FIRMAS%20AUTORIZADAS\E011%20EVELYN%20AYDEE%20GARCIA%20ALEMAN-GAAE%20Facturaci&#243;n.pdf" TargetMode="External"/><Relationship Id="rId52" Type="http://schemas.openxmlformats.org/officeDocument/2006/relationships/hyperlink" Target="mailto:aux.rh@empacados.com" TargetMode="External"/><Relationship Id="rId60" Type="http://schemas.openxmlformats.org/officeDocument/2006/relationships/hyperlink" Target="FIRMAS%20AUTORIZADAS\E015%20EPICOR%20BUSINESS%20SOLUTIONS%20MEXICO.pdf" TargetMode="External"/><Relationship Id="rId65" Type="http://schemas.openxmlformats.org/officeDocument/2006/relationships/hyperlink" Target="mailto:Paola.leos@tibs.com.mx" TargetMode="External"/><Relationship Id="rId4" Type="http://schemas.openxmlformats.org/officeDocument/2006/relationships/hyperlink" Target="mailto:raulgonzalez@energycooler.com" TargetMode="External"/><Relationship Id="rId9" Type="http://schemas.openxmlformats.org/officeDocument/2006/relationships/hyperlink" Target="mailto:fabiola.huerta@enviaflores.com" TargetMode="External"/><Relationship Id="rId14" Type="http://schemas.openxmlformats.org/officeDocument/2006/relationships/hyperlink" Target="FIRMAS%20AUTORIZADAS\E003%20ENNEA.pdf" TargetMode="External"/><Relationship Id="rId22" Type="http://schemas.openxmlformats.org/officeDocument/2006/relationships/hyperlink" Target="mailto:ccastano@alterax.com.mx" TargetMode="External"/><Relationship Id="rId27" Type="http://schemas.openxmlformats.org/officeDocument/2006/relationships/hyperlink" Target="mailto:Fernanda.mexicano@esab.com" TargetMode="External"/><Relationship Id="rId30" Type="http://schemas.openxmlformats.org/officeDocument/2006/relationships/hyperlink" Target="mailto:acabrera@estrategiasyasesores.com" TargetMode="External"/><Relationship Id="rId35" Type="http://schemas.openxmlformats.org/officeDocument/2006/relationships/hyperlink" Target="FIRMAS%20AUTORIZADAS\E006%20EMERMEX%20S.A%20DE%20C.V.pdf" TargetMode="External"/><Relationship Id="rId43" Type="http://schemas.openxmlformats.org/officeDocument/2006/relationships/hyperlink" Target="mailto:facturaciongaae@gmail.com" TargetMode="External"/><Relationship Id="rId48" Type="http://schemas.openxmlformats.org/officeDocument/2006/relationships/hyperlink" Target="mailto:luis.martinez@atline.mx" TargetMode="External"/><Relationship Id="rId56" Type="http://schemas.openxmlformats.org/officeDocument/2006/relationships/hyperlink" Target="mailto:Martin.garcia@epicor.com" TargetMode="External"/><Relationship Id="rId64" Type="http://schemas.openxmlformats.org/officeDocument/2006/relationships/hyperlink" Target="mailto:Paola.leos@tibs.com.mx" TargetMode="External"/><Relationship Id="rId69" Type="http://schemas.openxmlformats.org/officeDocument/2006/relationships/hyperlink" Target="FIRMAS%20AUTORIZADAS\E018%20ERIKA%20GUADALUPE%20CERVANTES%20MART&#205;NEZ-Consultoria%20Integral%20Contable%20Fiscal.pdf" TargetMode="External"/><Relationship Id="rId8" Type="http://schemas.openxmlformats.org/officeDocument/2006/relationships/hyperlink" Target="mailto:ricardo.cazares@enviaflores.com" TargetMode="External"/><Relationship Id="rId51" Type="http://schemas.openxmlformats.org/officeDocument/2006/relationships/hyperlink" Target="FIRMAS%20AUTORIZADAS\E013%20ENLAK%20LOGISTICA.pdf" TargetMode="External"/><Relationship Id="rId72" Type="http://schemas.openxmlformats.org/officeDocument/2006/relationships/table" Target="../tables/table6.xml"/><Relationship Id="rId3" Type="http://schemas.openxmlformats.org/officeDocument/2006/relationships/hyperlink" Target="mailto:jaimearzola@energycooler.com" TargetMode="External"/><Relationship Id="rId12" Type="http://schemas.openxmlformats.org/officeDocument/2006/relationships/hyperlink" Target="mailto:eugenia.garza@grupoennea.com" TargetMode="External"/><Relationship Id="rId17" Type="http://schemas.openxmlformats.org/officeDocument/2006/relationships/hyperlink" Target="mailto:Octaviovi@empirenational.com" TargetMode="External"/><Relationship Id="rId25" Type="http://schemas.openxmlformats.org/officeDocument/2006/relationships/hyperlink" Target="mailto:Sergio.Cuellar@vertiv.com" TargetMode="External"/><Relationship Id="rId33" Type="http://schemas.openxmlformats.org/officeDocument/2006/relationships/hyperlink" Target="mailto:rh@eltexano.com" TargetMode="External"/><Relationship Id="rId38" Type="http://schemas.openxmlformats.org/officeDocument/2006/relationships/hyperlink" Target="mailto:edgarguadalupequirozsendejo@gmail.com" TargetMode="External"/><Relationship Id="rId46" Type="http://schemas.openxmlformats.org/officeDocument/2006/relationships/hyperlink" Target="mailto:jose.elizondo@iconn.com.mx" TargetMode="External"/><Relationship Id="rId59" Type="http://schemas.openxmlformats.org/officeDocument/2006/relationships/hyperlink" Target="mailto:elizabeth.garcia@epicor.com" TargetMode="External"/><Relationship Id="rId67" Type="http://schemas.openxmlformats.org/officeDocument/2006/relationships/hyperlink" Target="mailto:ecervantes@serviciosecem.com.mx" TargetMode="External"/><Relationship Id="rId20" Type="http://schemas.openxmlformats.org/officeDocument/2006/relationships/hyperlink" Target="mailto:gissel.gallegos@alterax.com.mx" TargetMode="External"/><Relationship Id="rId41" Type="http://schemas.openxmlformats.org/officeDocument/2006/relationships/hyperlink" Target="FIRMAS%20AUTORIZADAS\E010%20EDGAR%20GUADALUPE%20QUIROZ%20SENDEJO-Despacho%20contable%20agua%20viva.pdf" TargetMode="External"/><Relationship Id="rId54" Type="http://schemas.openxmlformats.org/officeDocument/2006/relationships/hyperlink" Target="mailto:aux3.rh@empacados.com" TargetMode="External"/><Relationship Id="rId62" Type="http://schemas.openxmlformats.org/officeDocument/2006/relationships/hyperlink" Target="mailto:Alexis.velez@joysonsafety.com" TargetMode="External"/><Relationship Id="rId70" Type="http://schemas.openxmlformats.org/officeDocument/2006/relationships/hyperlink" Target="FIRMAS%20AUTORIZADAS\E017%20ESTOC&#193;STICOS%20CONSULTORES-Tibs.pdf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dcruz@fluidmaster.com" TargetMode="External"/><Relationship Id="rId18" Type="http://schemas.openxmlformats.org/officeDocument/2006/relationships/hyperlink" Target="mailto:norma.mora@fultra.mx" TargetMode="External"/><Relationship Id="rId26" Type="http://schemas.openxmlformats.org/officeDocument/2006/relationships/hyperlink" Target="mailto:ramon.rodriguezgrz@uanl.edu.mx" TargetMode="External"/><Relationship Id="rId39" Type="http://schemas.openxmlformats.org/officeDocument/2006/relationships/hyperlink" Target="mailto:capitalhumano@1stlan.com.mx" TargetMode="External"/><Relationship Id="rId21" Type="http://schemas.openxmlformats.org/officeDocument/2006/relationships/hyperlink" Target="mailto:cristina.villegasg@uanl.com" TargetMode="External"/><Relationship Id="rId34" Type="http://schemas.openxmlformats.org/officeDocument/2006/relationships/hyperlink" Target="mailto:Yolanda.graciav@uanl.mx" TargetMode="External"/><Relationship Id="rId42" Type="http://schemas.openxmlformats.org/officeDocument/2006/relationships/hyperlink" Target="mailto:raulvillareal@ravi.com.mx" TargetMode="External"/><Relationship Id="rId47" Type="http://schemas.openxmlformats.org/officeDocument/2006/relationships/hyperlink" Target="mailto:gerencia.admon@flecosa.com.mx" TargetMode="External"/><Relationship Id="rId50" Type="http://schemas.openxmlformats.org/officeDocument/2006/relationships/hyperlink" Target="FIRMAS%20AUTORIZADAS\F014%20FLECOSA%20SA%20DE%20CV.pdf" TargetMode="External"/><Relationship Id="rId55" Type="http://schemas.openxmlformats.org/officeDocument/2006/relationships/hyperlink" Target="mailto:martin.canavati@fortioconnections.com" TargetMode="External"/><Relationship Id="rId63" Type="http://schemas.openxmlformats.org/officeDocument/2006/relationships/hyperlink" Target="mailto:patricia@nutribits.com" TargetMode="External"/><Relationship Id="rId68" Type="http://schemas.openxmlformats.org/officeDocument/2006/relationships/hyperlink" Target="FIRMAS%20AUTORIZADAS\F019%20FABIOLA%20LUISA%20AVILA%20ZAPATA.pdf" TargetMode="External"/><Relationship Id="rId7" Type="http://schemas.openxmlformats.org/officeDocument/2006/relationships/hyperlink" Target="mailto:miralda.guerra@benavides.com.mx" TargetMode="External"/><Relationship Id="rId71" Type="http://schemas.openxmlformats.org/officeDocument/2006/relationships/hyperlink" Target="FIRMAS%20AUTORIZADAS\F020%20FUNDACI&#211;N%20PRO%20UNIVERSITARIA%20A.C.-Pro%20Meritum.pdf" TargetMode="External"/><Relationship Id="rId2" Type="http://schemas.openxmlformats.org/officeDocument/2006/relationships/hyperlink" Target="mailto:armida.perez@fideproesnl.gob.mx" TargetMode="External"/><Relationship Id="rId16" Type="http://schemas.openxmlformats.org/officeDocument/2006/relationships/hyperlink" Target="mailto:alma.davila@fultra.mx" TargetMode="External"/><Relationship Id="rId29" Type="http://schemas.openxmlformats.org/officeDocument/2006/relationships/hyperlink" Target="mailto:gacosta@cuallix.com" TargetMode="External"/><Relationship Id="rId11" Type="http://schemas.openxmlformats.org/officeDocument/2006/relationships/hyperlink" Target="FIRMAS%20AUTORIZADAS\F002%20Financier&#237;a%20MEXI.pdf" TargetMode="External"/><Relationship Id="rId24" Type="http://schemas.openxmlformats.org/officeDocument/2006/relationships/hyperlink" Target="mailto:ysalinas@fastenal.com" TargetMode="External"/><Relationship Id="rId32" Type="http://schemas.openxmlformats.org/officeDocument/2006/relationships/hyperlink" Target="mailto:gmagana@cuallix.com" TargetMode="External"/><Relationship Id="rId37" Type="http://schemas.openxmlformats.org/officeDocument/2006/relationships/hyperlink" Target="FIRMAS%20AUTORIZADAS\F007%20Facultad%20de%20Ingenier&#237;a%20Mec&#225;nica%20y%20El&#233;ctrica-%20UANL.pdf" TargetMode="External"/><Relationship Id="rId40" Type="http://schemas.openxmlformats.org/officeDocument/2006/relationships/hyperlink" Target="FIRMAS%20AUTORIZADAS\F012%201ST%20LAN.pdf" TargetMode="External"/><Relationship Id="rId45" Type="http://schemas.openxmlformats.org/officeDocument/2006/relationships/hyperlink" Target="mailto:contabilidad@ravi.com.mx" TargetMode="External"/><Relationship Id="rId53" Type="http://schemas.openxmlformats.org/officeDocument/2006/relationships/hyperlink" Target="mailto:diego.lara@fortioconnections.com" TargetMode="External"/><Relationship Id="rId58" Type="http://schemas.openxmlformats.org/officeDocument/2006/relationships/hyperlink" Target="mailto:leonardoferesal01@gmail.com" TargetMode="External"/><Relationship Id="rId66" Type="http://schemas.openxmlformats.org/officeDocument/2006/relationships/hyperlink" Target="mailto:fabiola.Avila@flexsoft.com.mx" TargetMode="External"/><Relationship Id="rId5" Type="http://schemas.openxmlformats.org/officeDocument/2006/relationships/hyperlink" Target="mailto:carolina.garza@fmexi.com" TargetMode="External"/><Relationship Id="rId15" Type="http://schemas.openxmlformats.org/officeDocument/2006/relationships/hyperlink" Target="FIRMAS%20AUTORIZADAS\F004%20FLUIDMASTER.pdf" TargetMode="External"/><Relationship Id="rId23" Type="http://schemas.openxmlformats.org/officeDocument/2006/relationships/hyperlink" Target="mailto:daniel.chapagd@uanl.edu.mx" TargetMode="External"/><Relationship Id="rId28" Type="http://schemas.openxmlformats.org/officeDocument/2006/relationships/hyperlink" Target="mailto:gacosta@cuallix.com" TargetMode="External"/><Relationship Id="rId36" Type="http://schemas.openxmlformats.org/officeDocument/2006/relationships/hyperlink" Target="FIRMAS%20AUTORIZADAS\F011%20Facultad%20de%20Ciencias%20Qu&#237;micas,%20UANL..pdf" TargetMode="External"/><Relationship Id="rId49" Type="http://schemas.openxmlformats.org/officeDocument/2006/relationships/hyperlink" Target="mailto:rh@flecosa.com.mx" TargetMode="External"/><Relationship Id="rId57" Type="http://schemas.openxmlformats.org/officeDocument/2006/relationships/hyperlink" Target="FIRMAS%20AUTORIZADAS\F015%20FIDENCIO%20CABRAL%20CASAS-CyA%20Contadores%20y%20Asesores.pdf" TargetMode="External"/><Relationship Id="rId61" Type="http://schemas.openxmlformats.org/officeDocument/2006/relationships/hyperlink" Target="FIRMAS%20AUTORIZADAS\F017%20FERRETERIA%20Y%20MATERIALES%20PARA%20CONSTRUCCION%20SALDA&#209;A-Ferreterias%20Salda&#241;as.pdf" TargetMode="External"/><Relationship Id="rId10" Type="http://schemas.openxmlformats.org/officeDocument/2006/relationships/hyperlink" Target="FIRMAS%20AUTORIZADAS\F003%20farmacias%20benavides.pdf" TargetMode="External"/><Relationship Id="rId19" Type="http://schemas.openxmlformats.org/officeDocument/2006/relationships/hyperlink" Target="FIRMAS%20AUTORIZADAS\F005%20FULTURA.pdf" TargetMode="External"/><Relationship Id="rId31" Type="http://schemas.openxmlformats.org/officeDocument/2006/relationships/hyperlink" Target="mailto:ramon.rodriguezgrz@uanl.edu.mx" TargetMode="External"/><Relationship Id="rId44" Type="http://schemas.openxmlformats.org/officeDocument/2006/relationships/hyperlink" Target="mailto:contabilidad@ravi.com.mx" TargetMode="External"/><Relationship Id="rId52" Type="http://schemas.openxmlformats.org/officeDocument/2006/relationships/hyperlink" Target="mailto:Mcabral@Contadoresyasesores.com.mx" TargetMode="External"/><Relationship Id="rId60" Type="http://schemas.openxmlformats.org/officeDocument/2006/relationships/hyperlink" Target="mailto:robecbecerra@gmail.com" TargetMode="External"/><Relationship Id="rId65" Type="http://schemas.openxmlformats.org/officeDocument/2006/relationships/hyperlink" Target="FIRMAS%20AUTORIZADAS\F018%20FOOD%20SOLUTIONS%20S.A%20DE%20C.V.pdf" TargetMode="External"/><Relationship Id="rId73" Type="http://schemas.openxmlformats.org/officeDocument/2006/relationships/table" Target="../tables/table7.xml"/><Relationship Id="rId4" Type="http://schemas.openxmlformats.org/officeDocument/2006/relationships/hyperlink" Target="mailto:irma.garza@fideproesnl.gob.mx" TargetMode="External"/><Relationship Id="rId9" Type="http://schemas.openxmlformats.org/officeDocument/2006/relationships/hyperlink" Target="mailto:karla.villarreal@benavides.com.mx" TargetMode="External"/><Relationship Id="rId14" Type="http://schemas.openxmlformats.org/officeDocument/2006/relationships/hyperlink" Target="mailto:aortiz@fluidmaster.com" TargetMode="External"/><Relationship Id="rId22" Type="http://schemas.openxmlformats.org/officeDocument/2006/relationships/hyperlink" Target="mailto:daniel.chapagd@uanl.edu.mx" TargetMode="External"/><Relationship Id="rId27" Type="http://schemas.openxmlformats.org/officeDocument/2006/relationships/hyperlink" Target="FIRMAS%20AUTORIZADAS\F006%20Fac.%20de%20Ciencias%20Biol&#243;gicas,%20UANL.pdf" TargetMode="External"/><Relationship Id="rId30" Type="http://schemas.openxmlformats.org/officeDocument/2006/relationships/hyperlink" Target="mailto:ysalinas@fastenal.com" TargetMode="External"/><Relationship Id="rId35" Type="http://schemas.openxmlformats.org/officeDocument/2006/relationships/hyperlink" Target="mailto:Yolanda.graciav@uanl.mx" TargetMode="External"/><Relationship Id="rId43" Type="http://schemas.openxmlformats.org/officeDocument/2006/relationships/hyperlink" Target="mailto:raulvillareal@ravi.com.mx" TargetMode="External"/><Relationship Id="rId48" Type="http://schemas.openxmlformats.org/officeDocument/2006/relationships/hyperlink" Target="mailto:gerencia.admon@flecosa.com.mx" TargetMode="External"/><Relationship Id="rId56" Type="http://schemas.openxmlformats.org/officeDocument/2006/relationships/hyperlink" Target="FIRMAS%20AUTORIZADAS\F016%20FORTIO%20CONNECTIONS.pdf" TargetMode="External"/><Relationship Id="rId64" Type="http://schemas.openxmlformats.org/officeDocument/2006/relationships/hyperlink" Target="mailto:Karen.perez@nutribits.com" TargetMode="External"/><Relationship Id="rId69" Type="http://schemas.openxmlformats.org/officeDocument/2006/relationships/hyperlink" Target="mailto:fernanda.hernandez@prouniversitaria.org" TargetMode="External"/><Relationship Id="rId8" Type="http://schemas.openxmlformats.org/officeDocument/2006/relationships/hyperlink" Target="mailto:miralda.guerra@benavides.com.mx" TargetMode="External"/><Relationship Id="rId51" Type="http://schemas.openxmlformats.org/officeDocument/2006/relationships/hyperlink" Target="mailto:Mcabral@Contadoresyasesores.com.mx" TargetMode="External"/><Relationship Id="rId72" Type="http://schemas.openxmlformats.org/officeDocument/2006/relationships/printerSettings" Target="../printerSettings/printerSettings7.bin"/><Relationship Id="rId3" Type="http://schemas.openxmlformats.org/officeDocument/2006/relationships/hyperlink" Target="FIRMAS%20AUTORIZADAS\F001%20FIDEPROES.pdf" TargetMode="External"/><Relationship Id="rId12" Type="http://schemas.openxmlformats.org/officeDocument/2006/relationships/hyperlink" Target="mailto:dcruz@fluidmaster.com" TargetMode="External"/><Relationship Id="rId17" Type="http://schemas.openxmlformats.org/officeDocument/2006/relationships/hyperlink" Target="mailto:norma.mora@fultra.mx" TargetMode="External"/><Relationship Id="rId25" Type="http://schemas.openxmlformats.org/officeDocument/2006/relationships/hyperlink" Target="FIRMAS%20AUTORIZADAS\F009%20FASTENAL.pdf" TargetMode="External"/><Relationship Id="rId33" Type="http://schemas.openxmlformats.org/officeDocument/2006/relationships/hyperlink" Target="FIRMAS%20AUTORIZADAS\F010%20FMMINMOBILIARIA.pdf" TargetMode="External"/><Relationship Id="rId38" Type="http://schemas.openxmlformats.org/officeDocument/2006/relationships/hyperlink" Target="FIRMAS%20AUTORIZADAS\F008%20FOD.PDF" TargetMode="External"/><Relationship Id="rId46" Type="http://schemas.openxmlformats.org/officeDocument/2006/relationships/hyperlink" Target="FIRMAS%20AUTORIZADAS\F013%20FABRICA%20DE%20DULCES%20RAVI%20SA%20DE%20CV.pdf" TargetMode="External"/><Relationship Id="rId59" Type="http://schemas.openxmlformats.org/officeDocument/2006/relationships/hyperlink" Target="mailto:adrianhernandez3245@outlook.com" TargetMode="External"/><Relationship Id="rId67" Type="http://schemas.openxmlformats.org/officeDocument/2006/relationships/hyperlink" Target="mailto:fabiola.Avila@flexsoft.com.mx" TargetMode="External"/><Relationship Id="rId20" Type="http://schemas.openxmlformats.org/officeDocument/2006/relationships/hyperlink" Target="mailto:cristina.villegasg@uanl.com" TargetMode="External"/><Relationship Id="rId41" Type="http://schemas.openxmlformats.org/officeDocument/2006/relationships/hyperlink" Target="mailto:capitalhumano@1stlan.com.mx" TargetMode="External"/><Relationship Id="rId54" Type="http://schemas.openxmlformats.org/officeDocument/2006/relationships/hyperlink" Target="mailto:diego.lara@fortioconnections.com" TargetMode="External"/><Relationship Id="rId62" Type="http://schemas.openxmlformats.org/officeDocument/2006/relationships/hyperlink" Target="mailto:adriana.salazar@nutribits.com" TargetMode="External"/><Relationship Id="rId70" Type="http://schemas.openxmlformats.org/officeDocument/2006/relationships/hyperlink" Target="mailto:fernanda.hernandez@prouniversitaria.org" TargetMode="External"/><Relationship Id="rId1" Type="http://schemas.openxmlformats.org/officeDocument/2006/relationships/hyperlink" Target="mailto:armida.perez@fideproesnl.gob.mx" TargetMode="External"/><Relationship Id="rId6" Type="http://schemas.openxmlformats.org/officeDocument/2006/relationships/hyperlink" Target="mailto:carolina.garza@fmexi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FIRMAS%20AUTORIZADAS\G005%20GARZA%20GALVAN%20&amp;%20ASOCIADOS.pdf" TargetMode="External"/><Relationship Id="rId18" Type="http://schemas.openxmlformats.org/officeDocument/2006/relationships/hyperlink" Target="FIRMAS%20AUTORIZADAS\G006%20GRUPO%20CHAVANA.pdf" TargetMode="External"/><Relationship Id="rId26" Type="http://schemas.openxmlformats.org/officeDocument/2006/relationships/hyperlink" Target="mailto:lflores@grupocomwor.com" TargetMode="External"/><Relationship Id="rId39" Type="http://schemas.openxmlformats.org/officeDocument/2006/relationships/hyperlink" Target="mailto:recursoshumanos@agencialinares.com" TargetMode="External"/><Relationship Id="rId21" Type="http://schemas.openxmlformats.org/officeDocument/2006/relationships/hyperlink" Target="mailto:luis.eduardo.s@gestioncontable.com.mx" TargetMode="External"/><Relationship Id="rId34" Type="http://schemas.openxmlformats.org/officeDocument/2006/relationships/hyperlink" Target="mailto:marketing@sinco-industrial.com" TargetMode="External"/><Relationship Id="rId42" Type="http://schemas.openxmlformats.org/officeDocument/2006/relationships/hyperlink" Target="mailto:c.marquez@gs.com.mx" TargetMode="External"/><Relationship Id="rId47" Type="http://schemas.openxmlformats.org/officeDocument/2006/relationships/hyperlink" Target="mailto:asistente.rh@grupofernandez.mx" TargetMode="External"/><Relationship Id="rId50" Type="http://schemas.openxmlformats.org/officeDocument/2006/relationships/hyperlink" Target="FIRMAS%20AUTORIZADAS\G018%20Grupo%20Loguinext.pdf" TargetMode="External"/><Relationship Id="rId55" Type="http://schemas.openxmlformats.org/officeDocument/2006/relationships/hyperlink" Target="FIRMAS%20AUTORIZADAS\G011%20GRUPO%20COMWOR.pdf" TargetMode="External"/><Relationship Id="rId63" Type="http://schemas.openxmlformats.org/officeDocument/2006/relationships/hyperlink" Target="mailto:mlepri@gentor.com" TargetMode="External"/><Relationship Id="rId68" Type="http://schemas.openxmlformats.org/officeDocument/2006/relationships/hyperlink" Target="mailto:recursoshumanos@msgmontacargas.com" TargetMode="External"/><Relationship Id="rId76" Type="http://schemas.openxmlformats.org/officeDocument/2006/relationships/hyperlink" Target="FIRMAS%20AUTORIZADAS\G021%20GEOPROSPECT%20SA%20DE%20CV.pdf" TargetMode="External"/><Relationship Id="rId84" Type="http://schemas.openxmlformats.org/officeDocument/2006/relationships/hyperlink" Target="mailto:veronicahdz119@gmail.com" TargetMode="External"/><Relationship Id="rId89" Type="http://schemas.openxmlformats.org/officeDocument/2006/relationships/hyperlink" Target="FIRMAS%20AUTORIZADAS\G024%20GRUPO%20TOKA%20DE%20MEXICO%20SALUD%20INTEGRAL.pdf" TargetMode="External"/><Relationship Id="rId7" Type="http://schemas.openxmlformats.org/officeDocument/2006/relationships/hyperlink" Target="FIRMAS%20AUTORIZADAS\G003%20GENIE%20QUALITY%20BY%20DESING.pdf" TargetMode="External"/><Relationship Id="rId71" Type="http://schemas.openxmlformats.org/officeDocument/2006/relationships/hyperlink" Target="mailto:jepasquel@garylopequipment.com" TargetMode="External"/><Relationship Id="rId92" Type="http://schemas.openxmlformats.org/officeDocument/2006/relationships/hyperlink" Target="FIRMAS%20AUTORIZADAS\G025%20G&#220;NTNER%20DE%20MEXICO%20SA%20DE%20CV.pdf" TargetMode="External"/><Relationship Id="rId2" Type="http://schemas.openxmlformats.org/officeDocument/2006/relationships/hyperlink" Target="mailto:agarza@aiig.com" TargetMode="External"/><Relationship Id="rId16" Type="http://schemas.openxmlformats.org/officeDocument/2006/relationships/hyperlink" Target="mailto:contabilidad1@grupochavana.com.mx" TargetMode="External"/><Relationship Id="rId29" Type="http://schemas.openxmlformats.org/officeDocument/2006/relationships/hyperlink" Target="FIRMAS%20AUTORIZADAS\G013%20GRUPO%20GP.pdf" TargetMode="External"/><Relationship Id="rId11" Type="http://schemas.openxmlformats.org/officeDocument/2006/relationships/hyperlink" Target="FIRMAS%20AUTORIZADAS\G004%20GRUPO%20QUIRAN.pdf" TargetMode="External"/><Relationship Id="rId24" Type="http://schemas.openxmlformats.org/officeDocument/2006/relationships/hyperlink" Target="mailto:jzamorag@gnc.com.mx" TargetMode="External"/><Relationship Id="rId32" Type="http://schemas.openxmlformats.org/officeDocument/2006/relationships/hyperlink" Target="FIRMAS%20AUTORIZADAS\G012%20GRUPO%20DALTILE.pdf" TargetMode="External"/><Relationship Id="rId37" Type="http://schemas.openxmlformats.org/officeDocument/2006/relationships/hyperlink" Target="FIRMAS%20AUTORIZADAS\G014%20GRUPO%20INDUSTRIAL%20SINCO.pdf" TargetMode="External"/><Relationship Id="rId40" Type="http://schemas.openxmlformats.org/officeDocument/2006/relationships/hyperlink" Target="mailto:d.davila@gs.com.mx" TargetMode="External"/><Relationship Id="rId45" Type="http://schemas.openxmlformats.org/officeDocument/2006/relationships/hyperlink" Target="mailto:reclutamiento@grupofernandez.mx" TargetMode="External"/><Relationship Id="rId53" Type="http://schemas.openxmlformats.org/officeDocument/2006/relationships/hyperlink" Target="FIRMAS%20AUTORIZADAS\G009%20GNC.pdf" TargetMode="External"/><Relationship Id="rId58" Type="http://schemas.openxmlformats.org/officeDocument/2006/relationships/hyperlink" Target="mailto:daniela.duran@grabados-monterrey.com" TargetMode="External"/><Relationship Id="rId66" Type="http://schemas.openxmlformats.org/officeDocument/2006/relationships/hyperlink" Target="mailto:bobregon@gentor.com" TargetMode="External"/><Relationship Id="rId74" Type="http://schemas.openxmlformats.org/officeDocument/2006/relationships/hyperlink" Target="mailto:geopro98@gmail.com" TargetMode="External"/><Relationship Id="rId79" Type="http://schemas.openxmlformats.org/officeDocument/2006/relationships/hyperlink" Target="mailto:p.desarrollo8@gygcarbide.com" TargetMode="External"/><Relationship Id="rId87" Type="http://schemas.openxmlformats.org/officeDocument/2006/relationships/hyperlink" Target="mailto:jesus.rodriguez@tokasalud.com" TargetMode="External"/><Relationship Id="rId5" Type="http://schemas.openxmlformats.org/officeDocument/2006/relationships/hyperlink" Target="mailto:ana.ramirez@grupogaleria.com" TargetMode="External"/><Relationship Id="rId61" Type="http://schemas.openxmlformats.org/officeDocument/2006/relationships/hyperlink" Target="mailto:Karina.vargas@grupogp.com.mx" TargetMode="External"/><Relationship Id="rId82" Type="http://schemas.openxmlformats.org/officeDocument/2006/relationships/hyperlink" Target="mailto:martin.7018@hotmail.com" TargetMode="External"/><Relationship Id="rId90" Type="http://schemas.openxmlformats.org/officeDocument/2006/relationships/hyperlink" Target="mailto:david.velazquez@guentner.com" TargetMode="External"/><Relationship Id="rId19" Type="http://schemas.openxmlformats.org/officeDocument/2006/relationships/hyperlink" Target="mailto:rgconsultoriac@outlook.com" TargetMode="External"/><Relationship Id="rId14" Type="http://schemas.openxmlformats.org/officeDocument/2006/relationships/hyperlink" Target="mailto:administracion@grupocharana.xom.mx" TargetMode="External"/><Relationship Id="rId22" Type="http://schemas.openxmlformats.org/officeDocument/2006/relationships/hyperlink" Target="mailto:asalazar@gnc.com.mx" TargetMode="External"/><Relationship Id="rId27" Type="http://schemas.openxmlformats.org/officeDocument/2006/relationships/hyperlink" Target="mailto:emanzo@grupocomwor.com" TargetMode="External"/><Relationship Id="rId30" Type="http://schemas.openxmlformats.org/officeDocument/2006/relationships/hyperlink" Target="mailto:valeria.salazar@daltile.com.mx" TargetMode="External"/><Relationship Id="rId35" Type="http://schemas.openxmlformats.org/officeDocument/2006/relationships/hyperlink" Target="mailto:Administracion@sinco-industrial.com" TargetMode="External"/><Relationship Id="rId43" Type="http://schemas.openxmlformats.org/officeDocument/2006/relationships/hyperlink" Target="mailto:aux.talento@gs.com.mx" TargetMode="External"/><Relationship Id="rId48" Type="http://schemas.openxmlformats.org/officeDocument/2006/relationships/hyperlink" Target="FIRMAS%20AUTORIZADAS\G017%20Grupo%20Acero%20FDZ.pdf" TargetMode="External"/><Relationship Id="rId56" Type="http://schemas.openxmlformats.org/officeDocument/2006/relationships/hyperlink" Target="FIRMAS%20AUTORIZADAS\G015%20Grupo%20Heineken.pdf" TargetMode="External"/><Relationship Id="rId64" Type="http://schemas.openxmlformats.org/officeDocument/2006/relationships/hyperlink" Target="mailto:mlepri@gentor.com" TargetMode="External"/><Relationship Id="rId69" Type="http://schemas.openxmlformats.org/officeDocument/2006/relationships/hyperlink" Target="mailto:recursoshumanos@msgmontacargas.com" TargetMode="External"/><Relationship Id="rId77" Type="http://schemas.openxmlformats.org/officeDocument/2006/relationships/hyperlink" Target="mailto:p.desarrollo8@gygcarbide.com" TargetMode="External"/><Relationship Id="rId8" Type="http://schemas.openxmlformats.org/officeDocument/2006/relationships/hyperlink" Target="FIRMAS%20AUTORIZADAS\G002%20Grupo%20Galer&#237;a.pdf" TargetMode="External"/><Relationship Id="rId51" Type="http://schemas.openxmlformats.org/officeDocument/2006/relationships/hyperlink" Target="FIRMAS%20AUTORIZADAS\G007%20GARC&#205;A%20&amp;%20ASOCIADOS.pdf" TargetMode="External"/><Relationship Id="rId72" Type="http://schemas.openxmlformats.org/officeDocument/2006/relationships/hyperlink" Target="FIRMAS%20AUTORIZADAS\G020%20GARYLOP%20RENTAL%20EQUIPMENT.pdf" TargetMode="External"/><Relationship Id="rId80" Type="http://schemas.openxmlformats.org/officeDocument/2006/relationships/hyperlink" Target="FIRMAS%20AUTORIZADAS\G022%20G&amp;G%20PROFESSIONAL%20CARBIDE%20TOOL.pdf" TargetMode="External"/><Relationship Id="rId85" Type="http://schemas.openxmlformats.org/officeDocument/2006/relationships/hyperlink" Target="FIRMAS%20AUTORIZADAS\G023%20GLA%20CI.pdf" TargetMode="External"/><Relationship Id="rId93" Type="http://schemas.openxmlformats.org/officeDocument/2006/relationships/printerSettings" Target="../printerSettings/printerSettings8.bin"/><Relationship Id="rId3" Type="http://schemas.openxmlformats.org/officeDocument/2006/relationships/hyperlink" Target="FIRMAS%20AUTORIZADAS\G001%20GAIM%20REGIOMONTANA.pdf" TargetMode="External"/><Relationship Id="rId12" Type="http://schemas.openxmlformats.org/officeDocument/2006/relationships/hyperlink" Target="mailto:luis.s.torres.m@hotmail.com" TargetMode="External"/><Relationship Id="rId17" Type="http://schemas.openxmlformats.org/officeDocument/2006/relationships/hyperlink" Target="mailto:rhoperacion@grupochava.com.mx" TargetMode="External"/><Relationship Id="rId25" Type="http://schemas.openxmlformats.org/officeDocument/2006/relationships/hyperlink" Target="mailto:daniela.duran@grabados-monterrey.com" TargetMode="External"/><Relationship Id="rId33" Type="http://schemas.openxmlformats.org/officeDocument/2006/relationships/hyperlink" Target="mailto:hugo@sinco-industrial.com" TargetMode="External"/><Relationship Id="rId38" Type="http://schemas.openxmlformats.org/officeDocument/2006/relationships/hyperlink" Target="mailto:recursoshumanos@agencialinares.com" TargetMode="External"/><Relationship Id="rId46" Type="http://schemas.openxmlformats.org/officeDocument/2006/relationships/hyperlink" Target="mailto:reclutamiento@grupofernandez.mx" TargetMode="External"/><Relationship Id="rId59" Type="http://schemas.openxmlformats.org/officeDocument/2006/relationships/hyperlink" Target="mailto:arnulfo.ahumada@grupogp.com.mx" TargetMode="External"/><Relationship Id="rId67" Type="http://schemas.openxmlformats.org/officeDocument/2006/relationships/hyperlink" Target="FIRMAS%20AUTORIZADAS\G019%20GENTOR%20SERVICIOS%20SA%20DE%20CV.pdf" TargetMode="External"/><Relationship Id="rId20" Type="http://schemas.openxmlformats.org/officeDocument/2006/relationships/hyperlink" Target="mailto:p.burciaga@gestioncontable.com" TargetMode="External"/><Relationship Id="rId41" Type="http://schemas.openxmlformats.org/officeDocument/2006/relationships/hyperlink" Target="mailto:d.davila@gs.com.mx" TargetMode="External"/><Relationship Id="rId54" Type="http://schemas.openxmlformats.org/officeDocument/2006/relationships/hyperlink" Target="FIRMAS%20AUTORIZADAS\G010%20Grabados%20Monterrey.pdf" TargetMode="External"/><Relationship Id="rId62" Type="http://schemas.openxmlformats.org/officeDocument/2006/relationships/hyperlink" Target="mailto:arnulfo.ahumada@grupogp.com.mx" TargetMode="External"/><Relationship Id="rId70" Type="http://schemas.openxmlformats.org/officeDocument/2006/relationships/hyperlink" Target="mailto:iliana.franco.95@hotmail.com" TargetMode="External"/><Relationship Id="rId75" Type="http://schemas.openxmlformats.org/officeDocument/2006/relationships/hyperlink" Target="mailto:anakaren@geoprospect.com.mx" TargetMode="External"/><Relationship Id="rId83" Type="http://schemas.openxmlformats.org/officeDocument/2006/relationships/hyperlink" Target="mailto:melissa.rdz.1923@gmail.com" TargetMode="External"/><Relationship Id="rId88" Type="http://schemas.openxmlformats.org/officeDocument/2006/relationships/hyperlink" Target="mailto:susana.brewster@tokasalud.com" TargetMode="External"/><Relationship Id="rId91" Type="http://schemas.openxmlformats.org/officeDocument/2006/relationships/hyperlink" Target="mailto:david.velazquez@guentner.com" TargetMode="External"/><Relationship Id="rId1" Type="http://schemas.openxmlformats.org/officeDocument/2006/relationships/hyperlink" Target="mailto:abarboza@aiig.com" TargetMode="External"/><Relationship Id="rId6" Type="http://schemas.openxmlformats.org/officeDocument/2006/relationships/hyperlink" Target="mailto:karla.mata@terex.com" TargetMode="External"/><Relationship Id="rId15" Type="http://schemas.openxmlformats.org/officeDocument/2006/relationships/hyperlink" Target="mailto:administracion@grupocharana.xom.mx" TargetMode="External"/><Relationship Id="rId23" Type="http://schemas.openxmlformats.org/officeDocument/2006/relationships/hyperlink" Target="mailto:asalazar@gnc.com.mx" TargetMode="External"/><Relationship Id="rId28" Type="http://schemas.openxmlformats.org/officeDocument/2006/relationships/hyperlink" Target="mailto:lflores@grupocomwor.com" TargetMode="External"/><Relationship Id="rId36" Type="http://schemas.openxmlformats.org/officeDocument/2006/relationships/hyperlink" Target="mailto:hugo@sinco-industrial.com" TargetMode="External"/><Relationship Id="rId49" Type="http://schemas.openxmlformats.org/officeDocument/2006/relationships/hyperlink" Target="mailto:iliana.franco.95@hotmail.com" TargetMode="External"/><Relationship Id="rId57" Type="http://schemas.openxmlformats.org/officeDocument/2006/relationships/hyperlink" Target="mailto:luis.s.torres.m@hotmail.com" TargetMode="External"/><Relationship Id="rId10" Type="http://schemas.openxmlformats.org/officeDocument/2006/relationships/hyperlink" Target="mailto:yibarra@qxcapital.com.mx" TargetMode="External"/><Relationship Id="rId31" Type="http://schemas.openxmlformats.org/officeDocument/2006/relationships/hyperlink" Target="mailto:Maria.Gonzales@daltile.com.mx" TargetMode="External"/><Relationship Id="rId44" Type="http://schemas.openxmlformats.org/officeDocument/2006/relationships/hyperlink" Target="FIRMAS%20AUTORIZADAS\G016%20GONZALEZ%20SOLIS.pdf" TargetMode="External"/><Relationship Id="rId52" Type="http://schemas.openxmlformats.org/officeDocument/2006/relationships/hyperlink" Target="FIRMAS%20AUTORIZADAS\G008%20Gesti&#243;n%20Mercantil%20Interactiva.pdf" TargetMode="External"/><Relationship Id="rId60" Type="http://schemas.openxmlformats.org/officeDocument/2006/relationships/hyperlink" Target="mailto:alessandra.cortes@grupogp.com.mx" TargetMode="External"/><Relationship Id="rId65" Type="http://schemas.openxmlformats.org/officeDocument/2006/relationships/hyperlink" Target="mailto:mrodriguez@gentor.com" TargetMode="External"/><Relationship Id="rId73" Type="http://schemas.openxmlformats.org/officeDocument/2006/relationships/hyperlink" Target="mailto:geopro98@gmail.com" TargetMode="External"/><Relationship Id="rId78" Type="http://schemas.openxmlformats.org/officeDocument/2006/relationships/hyperlink" Target="mailto:jgvaldezm@icloud.com" TargetMode="External"/><Relationship Id="rId81" Type="http://schemas.openxmlformats.org/officeDocument/2006/relationships/hyperlink" Target="mailto:martin.7018@hotmail.com" TargetMode="External"/><Relationship Id="rId86" Type="http://schemas.openxmlformats.org/officeDocument/2006/relationships/hyperlink" Target="mailto:susana.brewster@tokasalud.com" TargetMode="External"/><Relationship Id="rId94" Type="http://schemas.openxmlformats.org/officeDocument/2006/relationships/table" Target="../tables/table8.xml"/><Relationship Id="rId4" Type="http://schemas.openxmlformats.org/officeDocument/2006/relationships/hyperlink" Target="mailto:ana.garcia@grupoaleria.com" TargetMode="External"/><Relationship Id="rId9" Type="http://schemas.openxmlformats.org/officeDocument/2006/relationships/hyperlink" Target="mailto:acastillo@grupoquiran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marcela.becerra@safholland.con" TargetMode="External"/><Relationship Id="rId18" Type="http://schemas.openxmlformats.org/officeDocument/2006/relationships/hyperlink" Target="mailto:facturacion.comergarza@gmail.com" TargetMode="External"/><Relationship Id="rId26" Type="http://schemas.openxmlformats.org/officeDocument/2006/relationships/hyperlink" Target="FIRMAS%20AUTORIZADAS\H008%20Hussmann.pdf" TargetMode="External"/><Relationship Id="rId39" Type="http://schemas.openxmlformats.org/officeDocument/2006/relationships/hyperlink" Target="mailto:administracion@almek.com.mx" TargetMode="External"/><Relationship Id="rId3" Type="http://schemas.openxmlformats.org/officeDocument/2006/relationships/hyperlink" Target="FIRMAS%20AUTORIZADAS\H002%20HYUNDAI.pdf" TargetMode="External"/><Relationship Id="rId21" Type="http://schemas.openxmlformats.org/officeDocument/2006/relationships/hyperlink" Target="mailto:rsandoval@hebmex.com" TargetMode="External"/><Relationship Id="rId34" Type="http://schemas.openxmlformats.org/officeDocument/2006/relationships/hyperlink" Target="FIRMAS%20AUTORIZADAS\H010%20HEINEKEN.pdf" TargetMode="External"/><Relationship Id="rId42" Type="http://schemas.openxmlformats.org/officeDocument/2006/relationships/hyperlink" Target="mailto:rociov06161006@hotmail.com" TargetMode="External"/><Relationship Id="rId47" Type="http://schemas.openxmlformats.org/officeDocument/2006/relationships/hyperlink" Target="FIRMAS%20AUTORIZADAS\H013%20HOSPITAL%20Y%20SPA%20CLUB%20MASCOTA%20SA%20DE%20CV-Club%20Mascota.pdf" TargetMode="External"/><Relationship Id="rId7" Type="http://schemas.openxmlformats.org/officeDocument/2006/relationships/hyperlink" Target="FIRMAS%20AUTORIZADAS\H003%20Hospital%20Universitario%20UANL.pdf" TargetMode="External"/><Relationship Id="rId12" Type="http://schemas.openxmlformats.org/officeDocument/2006/relationships/hyperlink" Target="mailto:marcela.becerra@safholland.con" TargetMode="External"/><Relationship Id="rId17" Type="http://schemas.openxmlformats.org/officeDocument/2006/relationships/hyperlink" Target="mailto:admon.hospvetdrserna@gmail.com" TargetMode="External"/><Relationship Id="rId25" Type="http://schemas.openxmlformats.org/officeDocument/2006/relationships/hyperlink" Target="mailto:Edwin.Ornelas1@hussman.com" TargetMode="External"/><Relationship Id="rId33" Type="http://schemas.openxmlformats.org/officeDocument/2006/relationships/hyperlink" Target="mailto:andrea.melendez@heineken.com" TargetMode="External"/><Relationship Id="rId38" Type="http://schemas.openxmlformats.org/officeDocument/2006/relationships/hyperlink" Target="mailto:administracion@almek.com.mx" TargetMode="External"/><Relationship Id="rId46" Type="http://schemas.openxmlformats.org/officeDocument/2006/relationships/hyperlink" Target="FIRMAS%20AUTORIZADAS\H014%20H.%20CONGRESO%20DEL%20ESTADO%20DE%20NUEVO%20LEON.pdf" TargetMode="External"/><Relationship Id="rId2" Type="http://schemas.openxmlformats.org/officeDocument/2006/relationships/hyperlink" Target="mailto:oswaldo.martinez@hundai-transys.com" TargetMode="External"/><Relationship Id="rId16" Type="http://schemas.openxmlformats.org/officeDocument/2006/relationships/hyperlink" Target="FIRMAS%20AUTORIZADAS\H005%20Haldex.pdf" TargetMode="External"/><Relationship Id="rId20" Type="http://schemas.openxmlformats.org/officeDocument/2006/relationships/hyperlink" Target="mailto:etamez@hebmex.com" TargetMode="External"/><Relationship Id="rId29" Type="http://schemas.openxmlformats.org/officeDocument/2006/relationships/hyperlink" Target="mailto:jrodri62@hanonsystems.com" TargetMode="External"/><Relationship Id="rId41" Type="http://schemas.openxmlformats.org/officeDocument/2006/relationships/hyperlink" Target="FIRMAS%20AUTORIZADAS\H012%20HERRAMIENTAS%20ALMEK%20SA%20DE%20CV.pdf" TargetMode="External"/><Relationship Id="rId1" Type="http://schemas.openxmlformats.org/officeDocument/2006/relationships/hyperlink" Target="mailto:rsandoval@hebmex.com" TargetMode="External"/><Relationship Id="rId6" Type="http://schemas.openxmlformats.org/officeDocument/2006/relationships/hyperlink" Target="mailto:salinasz@gmail.com" TargetMode="External"/><Relationship Id="rId11" Type="http://schemas.openxmlformats.org/officeDocument/2006/relationships/hyperlink" Target="FIRMAS%20AUTORIZADAS\H004%20HFZ-CONTADORES.pdf" TargetMode="External"/><Relationship Id="rId24" Type="http://schemas.openxmlformats.org/officeDocument/2006/relationships/hyperlink" Target="mailto:Eleazar.Dominguez@hussman.com" TargetMode="External"/><Relationship Id="rId32" Type="http://schemas.openxmlformats.org/officeDocument/2006/relationships/hyperlink" Target="mailto:andrea.melendez@heineken.com" TargetMode="External"/><Relationship Id="rId37" Type="http://schemas.openxmlformats.org/officeDocument/2006/relationships/hyperlink" Target="FIRMAS%20AUTORIZADAS\H011%20HOLIDAY%20INN%20EXPRESS.pdf" TargetMode="External"/><Relationship Id="rId40" Type="http://schemas.openxmlformats.org/officeDocument/2006/relationships/hyperlink" Target="mailto:jesusgarza@almek.com.mx" TargetMode="External"/><Relationship Id="rId45" Type="http://schemas.openxmlformats.org/officeDocument/2006/relationships/hyperlink" Target="mailto:rhcongreso@hotmail.com" TargetMode="External"/><Relationship Id="rId5" Type="http://schemas.openxmlformats.org/officeDocument/2006/relationships/hyperlink" Target="mailto:salinasz@gmail.com" TargetMode="External"/><Relationship Id="rId15" Type="http://schemas.openxmlformats.org/officeDocument/2006/relationships/hyperlink" Target="mailto:Raul.garcia@safholland.com" TargetMode="External"/><Relationship Id="rId23" Type="http://schemas.openxmlformats.org/officeDocument/2006/relationships/hyperlink" Target="mailto:Martha.Teniente@hussman.com" TargetMode="External"/><Relationship Id="rId28" Type="http://schemas.openxmlformats.org/officeDocument/2006/relationships/hyperlink" Target="mailto:pmarti87@hanonsystems.com" TargetMode="External"/><Relationship Id="rId36" Type="http://schemas.openxmlformats.org/officeDocument/2006/relationships/hyperlink" Target="mailto:angelica.gonzales@hotelesmilenium.com" TargetMode="External"/><Relationship Id="rId49" Type="http://schemas.openxmlformats.org/officeDocument/2006/relationships/table" Target="../tables/table9.xml"/><Relationship Id="rId10" Type="http://schemas.openxmlformats.org/officeDocument/2006/relationships/hyperlink" Target="mailto:ssalinas@hfz-contadores-.com" TargetMode="External"/><Relationship Id="rId19" Type="http://schemas.openxmlformats.org/officeDocument/2006/relationships/hyperlink" Target="mailto:xgonzales@hebmex.com" TargetMode="External"/><Relationship Id="rId31" Type="http://schemas.openxmlformats.org/officeDocument/2006/relationships/hyperlink" Target="FIRMAS%20AUTORIZADAS\H006%20Hospital%20Veterinario%20Dr.%20Serna.pdf" TargetMode="External"/><Relationship Id="rId44" Type="http://schemas.openxmlformats.org/officeDocument/2006/relationships/hyperlink" Target="mailto:rhcongreso@hotmail.com" TargetMode="External"/><Relationship Id="rId4" Type="http://schemas.openxmlformats.org/officeDocument/2006/relationships/hyperlink" Target="FIRMAS%20AUTORIZADAS\H001%20HEB.pdf" TargetMode="External"/><Relationship Id="rId9" Type="http://schemas.openxmlformats.org/officeDocument/2006/relationships/hyperlink" Target="mailto:recursoshumanos@hfz-contadores.com" TargetMode="External"/><Relationship Id="rId14" Type="http://schemas.openxmlformats.org/officeDocument/2006/relationships/hyperlink" Target="mailto:alma.cuevas@safholland.com" TargetMode="External"/><Relationship Id="rId22" Type="http://schemas.openxmlformats.org/officeDocument/2006/relationships/hyperlink" Target="FIRMAS%20AUTORIZADAS\H007%20HEB-OBSIPADO.pdf" TargetMode="External"/><Relationship Id="rId27" Type="http://schemas.openxmlformats.org/officeDocument/2006/relationships/hyperlink" Target="mailto:pmarti87@hanonsystems.com" TargetMode="External"/><Relationship Id="rId30" Type="http://schemas.openxmlformats.org/officeDocument/2006/relationships/hyperlink" Target="FIRMAS%20AUTORIZADAS\H009%20HANON%20SYSTEMS.pdf" TargetMode="External"/><Relationship Id="rId35" Type="http://schemas.openxmlformats.org/officeDocument/2006/relationships/hyperlink" Target="mailto:angelica.gonzales@hotelesmilenium.com" TargetMode="External"/><Relationship Id="rId43" Type="http://schemas.openxmlformats.org/officeDocument/2006/relationships/hyperlink" Target="mailto:rociov06161006@hotmail.com" TargetMode="External"/><Relationship Id="rId48" Type="http://schemas.openxmlformats.org/officeDocument/2006/relationships/printerSettings" Target="../printerSettings/printerSettings9.bin"/><Relationship Id="rId8" Type="http://schemas.openxmlformats.org/officeDocument/2006/relationships/hyperlink" Target="mailto:recursoshumanos@hfz-contadores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diana@incs-america.com" TargetMode="External"/><Relationship Id="rId18" Type="http://schemas.openxmlformats.org/officeDocument/2006/relationships/hyperlink" Target="FIRMAS%20AUTORIZADAS\I004%20IMPULSO%20COMERCIAL%20INTERNACIONAL.pdf" TargetMode="External"/><Relationship Id="rId26" Type="http://schemas.openxmlformats.org/officeDocument/2006/relationships/hyperlink" Target="mailto:adriana.herrera@international.com" TargetMode="External"/><Relationship Id="rId39" Type="http://schemas.openxmlformats.org/officeDocument/2006/relationships/hyperlink" Target="mailto:Mauricio.fernandez@industrialcoex.com.mx" TargetMode="External"/><Relationship Id="rId21" Type="http://schemas.openxmlformats.org/officeDocument/2006/relationships/hyperlink" Target="FIRMAS%20AUTORIZADAS\I005%20Industrias%20Tuk.pdf" TargetMode="External"/><Relationship Id="rId34" Type="http://schemas.openxmlformats.org/officeDocument/2006/relationships/hyperlink" Target="mailto:capitalhumano@industriasrl.com" TargetMode="External"/><Relationship Id="rId42" Type="http://schemas.openxmlformats.org/officeDocument/2006/relationships/hyperlink" Target="mailto:Ivonne.castillo@industrialcoex.com.mx" TargetMode="External"/><Relationship Id="rId47" Type="http://schemas.openxmlformats.org/officeDocument/2006/relationships/hyperlink" Target="mailto:Luis.ramirez@irsdemexico.com.mc" TargetMode="External"/><Relationship Id="rId50" Type="http://schemas.openxmlformats.org/officeDocument/2006/relationships/hyperlink" Target="mailto:Luis.ramirez@irsdemexico.com.mc" TargetMode="External"/><Relationship Id="rId55" Type="http://schemas.openxmlformats.org/officeDocument/2006/relationships/hyperlink" Target="FIRMAS%20AUTORIZADAS\I014%20INDUSTRIAS%20ELECTRONICAS%20PACIFICO-Schneider%20Electric.pdf" TargetMode="External"/><Relationship Id="rId63" Type="http://schemas.openxmlformats.org/officeDocument/2006/relationships/hyperlink" Target="mailto:daniel.sanchez@inoacusa.com" TargetMode="External"/><Relationship Id="rId68" Type="http://schemas.openxmlformats.org/officeDocument/2006/relationships/hyperlink" Target="mailto:Karlay.calderon@gmail.com" TargetMode="External"/><Relationship Id="rId76" Type="http://schemas.openxmlformats.org/officeDocument/2006/relationships/table" Target="../tables/table10.xml"/><Relationship Id="rId7" Type="http://schemas.openxmlformats.org/officeDocument/2006/relationships/hyperlink" Target="mailto:orlando.acevedo@icumed.com" TargetMode="External"/><Relationship Id="rId71" Type="http://schemas.openxmlformats.org/officeDocument/2006/relationships/hyperlink" Target="FIRMAS%20AUTORIZADAS\I018%20INSTITUTO%20GUADALUPE%20DE%20LINARES.pdf" TargetMode="External"/><Relationship Id="rId2" Type="http://schemas.openxmlformats.org/officeDocument/2006/relationships/hyperlink" Target="mailto:yavillegos@infonavit.org.mx" TargetMode="External"/><Relationship Id="rId16" Type="http://schemas.openxmlformats.org/officeDocument/2006/relationships/hyperlink" Target="mailto:reclutamiento@checkplus.com.mx" TargetMode="External"/><Relationship Id="rId29" Type="http://schemas.openxmlformats.org/officeDocument/2006/relationships/hyperlink" Target="mailto:gabriela.garciar@isssteleon.gob.mx" TargetMode="External"/><Relationship Id="rId11" Type="http://schemas.openxmlformats.org/officeDocument/2006/relationships/hyperlink" Target="mailto:daniel.medina@inics-america.com" TargetMode="External"/><Relationship Id="rId24" Type="http://schemas.openxmlformats.org/officeDocument/2006/relationships/hyperlink" Target="mailto:luz.rodriguez@international.com" TargetMode="External"/><Relationship Id="rId32" Type="http://schemas.openxmlformats.org/officeDocument/2006/relationships/hyperlink" Target="mailto:jaimejaramillo@izacgarcia.com.mx" TargetMode="External"/><Relationship Id="rId37" Type="http://schemas.openxmlformats.org/officeDocument/2006/relationships/hyperlink" Target="mailto:injuve@nuevoleon.gob.mx" TargetMode="External"/><Relationship Id="rId40" Type="http://schemas.openxmlformats.org/officeDocument/2006/relationships/hyperlink" Target="mailto:Mauricio.fernandez@industrialcoex.com.mx" TargetMode="External"/><Relationship Id="rId45" Type="http://schemas.openxmlformats.org/officeDocument/2006/relationships/hyperlink" Target="mailto:jaimejaramillo@izacgarcia.com.mx" TargetMode="External"/><Relationship Id="rId53" Type="http://schemas.openxmlformats.org/officeDocument/2006/relationships/hyperlink" Target="mailto:daniela.osorio@se.com" TargetMode="External"/><Relationship Id="rId58" Type="http://schemas.openxmlformats.org/officeDocument/2006/relationships/hyperlink" Target="mailto:ylozano@popinvestments.com" TargetMode="External"/><Relationship Id="rId66" Type="http://schemas.openxmlformats.org/officeDocument/2006/relationships/hyperlink" Target="mailto:daniel.sanchez@inoacusa.com" TargetMode="External"/><Relationship Id="rId74" Type="http://schemas.openxmlformats.org/officeDocument/2006/relationships/hyperlink" Target="FIRMAS%20AUTORIZADAS\I019%20INNOVA%20SPORT.pdf" TargetMode="External"/><Relationship Id="rId5" Type="http://schemas.openxmlformats.org/officeDocument/2006/relationships/hyperlink" Target="FIRMAS%20AUTORIZADAS\I001%20INFONAVIT.pdf" TargetMode="External"/><Relationship Id="rId15" Type="http://schemas.openxmlformats.org/officeDocument/2006/relationships/hyperlink" Target="mailto:recursoshumanos@checkplus.com.mx" TargetMode="External"/><Relationship Id="rId23" Type="http://schemas.openxmlformats.org/officeDocument/2006/relationships/hyperlink" Target="FIRMAS%20AUTORIZADAS\I006%20INTERNATIONAL%20BEARINGS%20SERVICE.pdf" TargetMode="External"/><Relationship Id="rId28" Type="http://schemas.openxmlformats.org/officeDocument/2006/relationships/hyperlink" Target="mailto:gabriela.garciar@isssteleon.gob.mx" TargetMode="External"/><Relationship Id="rId36" Type="http://schemas.openxmlformats.org/officeDocument/2006/relationships/hyperlink" Target="mailto:injuve@nuevoleon.gob.mx" TargetMode="External"/><Relationship Id="rId49" Type="http://schemas.openxmlformats.org/officeDocument/2006/relationships/hyperlink" Target="mailto:Karina.alejandro@irsdemexico.com.mx" TargetMode="External"/><Relationship Id="rId57" Type="http://schemas.openxmlformats.org/officeDocument/2006/relationships/hyperlink" Target="mailto:jpalmeros@popinvestments.com" TargetMode="External"/><Relationship Id="rId61" Type="http://schemas.openxmlformats.org/officeDocument/2006/relationships/hyperlink" Target="mailto:gonzalez.selina@integrimox.com.mx" TargetMode="External"/><Relationship Id="rId10" Type="http://schemas.openxmlformats.org/officeDocument/2006/relationships/hyperlink" Target="FIRMAS%20AUTORIZADAS\I002%20ICUMEDICAL.pdf" TargetMode="External"/><Relationship Id="rId19" Type="http://schemas.openxmlformats.org/officeDocument/2006/relationships/hyperlink" Target="mailto:daniel.medina@inics-america.com" TargetMode="External"/><Relationship Id="rId31" Type="http://schemas.openxmlformats.org/officeDocument/2006/relationships/hyperlink" Target="FIRMAS%20AUTORIZADAS\I008%20ISSSTELEON.pdf" TargetMode="External"/><Relationship Id="rId44" Type="http://schemas.openxmlformats.org/officeDocument/2006/relationships/hyperlink" Target="mailto:Veronica@balerosibs.com" TargetMode="External"/><Relationship Id="rId52" Type="http://schemas.openxmlformats.org/officeDocument/2006/relationships/hyperlink" Target="mailto:daniela.osorio@se.com" TargetMode="External"/><Relationship Id="rId60" Type="http://schemas.openxmlformats.org/officeDocument/2006/relationships/hyperlink" Target="mailto:gonzalez.selina@integrimox.com.mx" TargetMode="External"/><Relationship Id="rId65" Type="http://schemas.openxmlformats.org/officeDocument/2006/relationships/hyperlink" Target="mailto:natalia.tirres@inoacusa.com" TargetMode="External"/><Relationship Id="rId73" Type="http://schemas.openxmlformats.org/officeDocument/2006/relationships/hyperlink" Target="mailto:manue.magana@innovasport.com" TargetMode="External"/><Relationship Id="rId4" Type="http://schemas.openxmlformats.org/officeDocument/2006/relationships/hyperlink" Target="mailto:vapono@infonavit.org.mx" TargetMode="External"/><Relationship Id="rId9" Type="http://schemas.openxmlformats.org/officeDocument/2006/relationships/hyperlink" Target="mailto:andreavictoria.gonzalez@icumed.com" TargetMode="External"/><Relationship Id="rId14" Type="http://schemas.openxmlformats.org/officeDocument/2006/relationships/hyperlink" Target="FIRMAS%20AUTORIZADAS\I003%20Inics%20America.pdf" TargetMode="External"/><Relationship Id="rId22" Type="http://schemas.openxmlformats.org/officeDocument/2006/relationships/hyperlink" Target="mailto:Veronica@balerosibs.com" TargetMode="External"/><Relationship Id="rId27" Type="http://schemas.openxmlformats.org/officeDocument/2006/relationships/hyperlink" Target="FIRMAS%20AUTORIZADAS\I007%20International%20Motors.pdf" TargetMode="External"/><Relationship Id="rId30" Type="http://schemas.openxmlformats.org/officeDocument/2006/relationships/hyperlink" Target="mailto:jorge.flores@isssteleon.gob.mx" TargetMode="External"/><Relationship Id="rId35" Type="http://schemas.openxmlformats.org/officeDocument/2006/relationships/hyperlink" Target="FIRMAS%20AUTORIZADAS\I010%20IINDUSTRIAS%20RL.pdf" TargetMode="External"/><Relationship Id="rId43" Type="http://schemas.openxmlformats.org/officeDocument/2006/relationships/hyperlink" Target="FIRMAS%20AUTORIZADAS\I012%20INDUSTRIAL%20COEX%20MEXICO.pdf" TargetMode="External"/><Relationship Id="rId48" Type="http://schemas.openxmlformats.org/officeDocument/2006/relationships/hyperlink" Target="mailto:Viridiana.flores@irsdemexico.com.mx" TargetMode="External"/><Relationship Id="rId56" Type="http://schemas.openxmlformats.org/officeDocument/2006/relationships/hyperlink" Target="mailto:ylozano@popinvestments.com" TargetMode="External"/><Relationship Id="rId64" Type="http://schemas.openxmlformats.org/officeDocument/2006/relationships/hyperlink" Target="mailto:nayeli.arevalo@inoacusa.com" TargetMode="External"/><Relationship Id="rId69" Type="http://schemas.openxmlformats.org/officeDocument/2006/relationships/hyperlink" Target="mailto:a.torres@institutoguadalupe.org" TargetMode="External"/><Relationship Id="rId8" Type="http://schemas.openxmlformats.org/officeDocument/2006/relationships/hyperlink" Target="mailto:vanessa.garza@icumed.com" TargetMode="External"/><Relationship Id="rId51" Type="http://schemas.openxmlformats.org/officeDocument/2006/relationships/hyperlink" Target="FIRMAS%20AUTORIZADAS\IRS%20DE%20MEXICO%20SA%20DE%20CV.pdf" TargetMode="External"/><Relationship Id="rId72" Type="http://schemas.openxmlformats.org/officeDocument/2006/relationships/hyperlink" Target="mailto:manue.magana@innovasport.com" TargetMode="External"/><Relationship Id="rId3" Type="http://schemas.openxmlformats.org/officeDocument/2006/relationships/hyperlink" Target="mailto:iolivares@infonavit.org.mx" TargetMode="External"/><Relationship Id="rId12" Type="http://schemas.openxmlformats.org/officeDocument/2006/relationships/hyperlink" Target="mailto:yolanda@inic-america.com" TargetMode="External"/><Relationship Id="rId17" Type="http://schemas.openxmlformats.org/officeDocument/2006/relationships/hyperlink" Target="mailto:recursoshumanos@checkplus.com.mx" TargetMode="External"/><Relationship Id="rId25" Type="http://schemas.openxmlformats.org/officeDocument/2006/relationships/hyperlink" Target="mailto:erika.samaniego@international.com" TargetMode="External"/><Relationship Id="rId33" Type="http://schemas.openxmlformats.org/officeDocument/2006/relationships/hyperlink" Target="FIRMAS%20AUTORIZADAS\I009%20IZAC%20GARCIA.%20Asesoria%20Fiscal.pdf" TargetMode="External"/><Relationship Id="rId38" Type="http://schemas.openxmlformats.org/officeDocument/2006/relationships/hyperlink" Target="FIRMAS%20AUTORIZADAS\I011%20Instituto%20Estatal%20de%20la%20Juventud.pdf" TargetMode="External"/><Relationship Id="rId46" Type="http://schemas.openxmlformats.org/officeDocument/2006/relationships/hyperlink" Target="mailto:capitalhumano@industriasrl.com" TargetMode="External"/><Relationship Id="rId59" Type="http://schemas.openxmlformats.org/officeDocument/2006/relationships/hyperlink" Target="FIRMAS%20AUTORIZADAS\I015%20INVERSIONES%20ARTHA%20POP-ARTHA%20POP.pdf" TargetMode="External"/><Relationship Id="rId67" Type="http://schemas.openxmlformats.org/officeDocument/2006/relationships/hyperlink" Target="FIRMAS%20AUTORIZADAS\I017%20INOAC%20POLYTEC%20DE%20MEXICO%20SA%20DE%20CV.pdf" TargetMode="External"/><Relationship Id="rId20" Type="http://schemas.openxmlformats.org/officeDocument/2006/relationships/hyperlink" Target="mailto:Ibarbosa@tuk.com.mx" TargetMode="External"/><Relationship Id="rId41" Type="http://schemas.openxmlformats.org/officeDocument/2006/relationships/hyperlink" Target="mailto:Laura.valdez@industrial.com.mx" TargetMode="External"/><Relationship Id="rId54" Type="http://schemas.openxmlformats.org/officeDocument/2006/relationships/hyperlink" Target="mailto:ivanarah.arrieta@se.com" TargetMode="External"/><Relationship Id="rId62" Type="http://schemas.openxmlformats.org/officeDocument/2006/relationships/hyperlink" Target="FIRMAS%20AUTORIZADAS\I016%20INTEGRINOX%20SA%20DE%20CV.pdf" TargetMode="External"/><Relationship Id="rId70" Type="http://schemas.openxmlformats.org/officeDocument/2006/relationships/hyperlink" Target="mailto:Karlay.calderon@gmail.com" TargetMode="External"/><Relationship Id="rId75" Type="http://schemas.openxmlformats.org/officeDocument/2006/relationships/printerSettings" Target="../printerSettings/printerSettings10.bin"/><Relationship Id="rId1" Type="http://schemas.openxmlformats.org/officeDocument/2006/relationships/hyperlink" Target="mailto:iolivares@infonavit.org.mx" TargetMode="External"/><Relationship Id="rId6" Type="http://schemas.openxmlformats.org/officeDocument/2006/relationships/hyperlink" Target="mailto:orlando.acevedo@icumed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Despachocarrillo1504@hotmail.com" TargetMode="External"/><Relationship Id="rId13" Type="http://schemas.openxmlformats.org/officeDocument/2006/relationships/hyperlink" Target="FIRMAS%20AUTORIZADAS\J006%20JAGUAR.pdf" TargetMode="External"/><Relationship Id="rId18" Type="http://schemas.openxmlformats.org/officeDocument/2006/relationships/hyperlink" Target="mailto:ernendoza@jonesplastic.com" TargetMode="External"/><Relationship Id="rId26" Type="http://schemas.openxmlformats.org/officeDocument/2006/relationships/hyperlink" Target="mailto:Alexcovarrubias1999@gmail.com" TargetMode="External"/><Relationship Id="rId3" Type="http://schemas.openxmlformats.org/officeDocument/2006/relationships/hyperlink" Target="FIRMAS%20AUTORIZADAS\J001%20JESUS%20ENRIQUE%20CHAVEZ%20DURAN-despacho.pdf" TargetMode="External"/><Relationship Id="rId21" Type="http://schemas.openxmlformats.org/officeDocument/2006/relationships/hyperlink" Target="FIRMAS%20AUTORIZADAS\J008%20JONES%20PLASTIC%20&amp;%20ENGINEERING.pdf" TargetMode="External"/><Relationship Id="rId7" Type="http://schemas.openxmlformats.org/officeDocument/2006/relationships/hyperlink" Target="mailto:juarezdavide@johndeere.com" TargetMode="External"/><Relationship Id="rId12" Type="http://schemas.openxmlformats.org/officeDocument/2006/relationships/hyperlink" Target="mailto:asolis@stjaguar.com.mx" TargetMode="External"/><Relationship Id="rId17" Type="http://schemas.openxmlformats.org/officeDocument/2006/relationships/hyperlink" Target="mailto:ernendoza@jonesplastic.com" TargetMode="External"/><Relationship Id="rId25" Type="http://schemas.openxmlformats.org/officeDocument/2006/relationships/hyperlink" Target="FIRMAS%20AUTORIZADAS\J005%20JOSE%20ARTURO%20MOCTEZUMA%20MALDONADO-DESPACHO%20CONTABLE.pdf" TargetMode="External"/><Relationship Id="rId2" Type="http://schemas.openxmlformats.org/officeDocument/2006/relationships/hyperlink" Target="mailto:chavezduranyciaa@hotmail.com" TargetMode="External"/><Relationship Id="rId16" Type="http://schemas.openxmlformats.org/officeDocument/2006/relationships/hyperlink" Target="FIRMAS%20AUTORIZADAS\J007%20JAVER.pdf" TargetMode="External"/><Relationship Id="rId20" Type="http://schemas.openxmlformats.org/officeDocument/2006/relationships/hyperlink" Target="mailto:adelira@jonesplastic.com" TargetMode="External"/><Relationship Id="rId29" Type="http://schemas.openxmlformats.org/officeDocument/2006/relationships/hyperlink" Target="FIRMAS%20AUTORIZADAS\J009%20JUAN%20CONCEPCION%20ALMARAZ%20MARQUEZ-Despacho%20Fiscal%20y%20Contable.pdf" TargetMode="External"/><Relationship Id="rId1" Type="http://schemas.openxmlformats.org/officeDocument/2006/relationships/hyperlink" Target="mailto:chavezduranyciaa@hotmail.com" TargetMode="External"/><Relationship Id="rId6" Type="http://schemas.openxmlformats.org/officeDocument/2006/relationships/hyperlink" Target="mailto:chavezmariamagdalena@johndeere.com" TargetMode="External"/><Relationship Id="rId11" Type="http://schemas.openxmlformats.org/officeDocument/2006/relationships/hyperlink" Target="mailto:asesoria_moctezuma@hotmail.com" TargetMode="External"/><Relationship Id="rId24" Type="http://schemas.openxmlformats.org/officeDocument/2006/relationships/hyperlink" Target="FIRMAS%20AUTORIZADAS\J004%20Jose%20Alfredo%20Pedraza%20Carrillo%20-%20Despacho%20Fiscal%20Carrillo%20y%20Asociados.pdf" TargetMode="External"/><Relationship Id="rId5" Type="http://schemas.openxmlformats.org/officeDocument/2006/relationships/hyperlink" Target="mailto:alejandramorenos@johndeere.com" TargetMode="External"/><Relationship Id="rId15" Type="http://schemas.openxmlformats.org/officeDocument/2006/relationships/hyperlink" Target="mailto:dgandara@javer.com.mx" TargetMode="External"/><Relationship Id="rId23" Type="http://schemas.openxmlformats.org/officeDocument/2006/relationships/hyperlink" Target="FIRMAS%20AUTORIZADAS\J003%20John%20Deere.pdf" TargetMode="External"/><Relationship Id="rId28" Type="http://schemas.openxmlformats.org/officeDocument/2006/relationships/hyperlink" Target="mailto:gar_dm@hotmail.com" TargetMode="External"/><Relationship Id="rId10" Type="http://schemas.openxmlformats.org/officeDocument/2006/relationships/hyperlink" Target="mailto:asesoria_moctezuma@hotmail.com" TargetMode="External"/><Relationship Id="rId19" Type="http://schemas.openxmlformats.org/officeDocument/2006/relationships/hyperlink" Target="mailto:ilopez@jonesplastic.com" TargetMode="External"/><Relationship Id="rId31" Type="http://schemas.openxmlformats.org/officeDocument/2006/relationships/table" Target="../tables/table11.xml"/><Relationship Id="rId4" Type="http://schemas.openxmlformats.org/officeDocument/2006/relationships/hyperlink" Target="mailto:Alexcovarrubias1999@gmail.com" TargetMode="External"/><Relationship Id="rId9" Type="http://schemas.openxmlformats.org/officeDocument/2006/relationships/hyperlink" Target="mailto:Despachocarrillo1504@hotmail.com" TargetMode="External"/><Relationship Id="rId14" Type="http://schemas.openxmlformats.org/officeDocument/2006/relationships/hyperlink" Target="mailto:dgandara@javer.com.mx" TargetMode="External"/><Relationship Id="rId22" Type="http://schemas.openxmlformats.org/officeDocument/2006/relationships/hyperlink" Target="FIRMAS%20AUTORIZADAS\J002%20JICA%20CONTADORES.pdf" TargetMode="External"/><Relationship Id="rId27" Type="http://schemas.openxmlformats.org/officeDocument/2006/relationships/hyperlink" Target="mailto:gar_dm@hotmail.com" TargetMode="External"/><Relationship Id="rId30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cinthia.hernandez@kiamax.com.mx" TargetMode="External"/><Relationship Id="rId13" Type="http://schemas.openxmlformats.org/officeDocument/2006/relationships/hyperlink" Target="FIRMAS%20AUTORIZADAS\K004%20KAYAKU%20SAFTY%20SYSTEMS%20DE%20M&#201;XICO.pdf" TargetMode="External"/><Relationship Id="rId18" Type="http://schemas.openxmlformats.org/officeDocument/2006/relationships/hyperlink" Target="FIRMAS%20AUTORIZADAS\K005%20KITOV%20SOPORTE%20CORPORATIVO.pdf" TargetMode="External"/><Relationship Id="rId3" Type="http://schemas.openxmlformats.org/officeDocument/2006/relationships/hyperlink" Target="mailto:alonso.garcia@kia-mexico.com" TargetMode="External"/><Relationship Id="rId7" Type="http://schemas.openxmlformats.org/officeDocument/2006/relationships/hyperlink" Target="mailto:victoriaperez@cleber.com" TargetMode="External"/><Relationship Id="rId12" Type="http://schemas.openxmlformats.org/officeDocument/2006/relationships/hyperlink" Target="mailto:axel.ruiz@ksmexico.com.mx" TargetMode="External"/><Relationship Id="rId17" Type="http://schemas.openxmlformats.org/officeDocument/2006/relationships/hyperlink" Target="mailto:sergio.pc.basik@hotmail.com" TargetMode="External"/><Relationship Id="rId2" Type="http://schemas.openxmlformats.org/officeDocument/2006/relationships/hyperlink" Target="mailto:martin.reyes@kia-mexico.com" TargetMode="External"/><Relationship Id="rId16" Type="http://schemas.openxmlformats.org/officeDocument/2006/relationships/hyperlink" Target="mailto:alexis.guerra@hotmail.com" TargetMode="External"/><Relationship Id="rId20" Type="http://schemas.openxmlformats.org/officeDocument/2006/relationships/table" Target="../tables/table12.xml"/><Relationship Id="rId1" Type="http://schemas.openxmlformats.org/officeDocument/2006/relationships/hyperlink" Target="mailto:rafael.medrano@kia-mexico.com" TargetMode="External"/><Relationship Id="rId6" Type="http://schemas.openxmlformats.org/officeDocument/2006/relationships/hyperlink" Target="mailto:victoriaperez@cleber.com" TargetMode="External"/><Relationship Id="rId11" Type="http://schemas.openxmlformats.org/officeDocument/2006/relationships/hyperlink" Target="FIRMAS%20AUTORIZADAS\K002%20KIA%20Cleber.pdf" TargetMode="External"/><Relationship Id="rId5" Type="http://schemas.openxmlformats.org/officeDocument/2006/relationships/hyperlink" Target="FIRMAS%20AUTORIZADAS\K001%20KIA.pdf" TargetMode="External"/><Relationship Id="rId15" Type="http://schemas.openxmlformats.org/officeDocument/2006/relationships/hyperlink" Target="mailto:kitov.soportezz@gmail.com" TargetMode="External"/><Relationship Id="rId10" Type="http://schemas.openxmlformats.org/officeDocument/2006/relationships/hyperlink" Target="FIRMAS%20AUTORIZADAS\K003%20KISA-KELVIN%20INGENIERIA.pdf" TargetMode="External"/><Relationship Id="rId19" Type="http://schemas.openxmlformats.org/officeDocument/2006/relationships/printerSettings" Target="../printerSettings/printerSettings12.bin"/><Relationship Id="rId4" Type="http://schemas.openxmlformats.org/officeDocument/2006/relationships/hyperlink" Target="mailto:rafael.medrano@kia-mexico.com" TargetMode="External"/><Relationship Id="rId9" Type="http://schemas.openxmlformats.org/officeDocument/2006/relationships/hyperlink" Target="mailto:jessica.arleth@me.com" TargetMode="External"/><Relationship Id="rId14" Type="http://schemas.openxmlformats.org/officeDocument/2006/relationships/hyperlink" Target="mailto:alexis.guerra@hot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teresa.Pucheta@Logrand.com" TargetMode="External"/><Relationship Id="rId13" Type="http://schemas.openxmlformats.org/officeDocument/2006/relationships/hyperlink" Target="mailto:mvillanueva@lubral.com" TargetMode="External"/><Relationship Id="rId18" Type="http://schemas.openxmlformats.org/officeDocument/2006/relationships/hyperlink" Target="FIRMAS%20AUTORIZADAS\L004%20Logrand%20Entertainment%20Group..pdf" TargetMode="External"/><Relationship Id="rId26" Type="http://schemas.openxmlformats.org/officeDocument/2006/relationships/hyperlink" Target="mailto:egalindo@lamisionsuper.com" TargetMode="External"/><Relationship Id="rId39" Type="http://schemas.openxmlformats.org/officeDocument/2006/relationships/hyperlink" Target="FIRMAS%20AUTORIZADAS\L010%20LUIS%20ANTONIO%20GUAJARDO%20CHAVEZ-Servicios%20Contables%20Guajardo.pdf" TargetMode="External"/><Relationship Id="rId3" Type="http://schemas.openxmlformats.org/officeDocument/2006/relationships/hyperlink" Target="mailto:mgonzalez@lodesa.com.mx" TargetMode="External"/><Relationship Id="rId21" Type="http://schemas.openxmlformats.org/officeDocument/2006/relationships/hyperlink" Target="FIRMAS%20AUTORIZADAS\L003%20LAURA%20HERCILIA%20SALINAS%20TREVI&#209;O-GRUPO%20RC.pdf" TargetMode="External"/><Relationship Id="rId34" Type="http://schemas.openxmlformats.org/officeDocument/2006/relationships/hyperlink" Target="FIRMAS%20AUTORIZADAS\L009%20LOGISTICA%20INGENIERIA%20Y%20SISTEMAS-LIS%20Soluciones.pdf" TargetMode="External"/><Relationship Id="rId42" Type="http://schemas.openxmlformats.org/officeDocument/2006/relationships/hyperlink" Target="FIRMAS%20AUTORIZADAS\L011%20LEGO%20OPERACIONES%20DE%20MEXICO.pdf" TargetMode="External"/><Relationship Id="rId7" Type="http://schemas.openxmlformats.org/officeDocument/2006/relationships/hyperlink" Target="mailto:dc19022000@gmail.com" TargetMode="External"/><Relationship Id="rId12" Type="http://schemas.openxmlformats.org/officeDocument/2006/relationships/hyperlink" Target="mailto:ivan.lopez@lopezoria.com" TargetMode="External"/><Relationship Id="rId17" Type="http://schemas.openxmlformats.org/officeDocument/2006/relationships/hyperlink" Target="FIRMAS%20AUTORIZADAS\L002%20L&#225;mina%20Desplegada%20SA%20de%20CV.pdf" TargetMode="External"/><Relationship Id="rId25" Type="http://schemas.openxmlformats.org/officeDocument/2006/relationships/hyperlink" Target="FIRMAS%20AUTORIZADAS\L007%20LUIS%20ALBERTO%20PADRON%20VEGA-Padron%20&amp;%20Villalobos%20Contadores.pdf" TargetMode="External"/><Relationship Id="rId33" Type="http://schemas.openxmlformats.org/officeDocument/2006/relationships/hyperlink" Target="mailto:rh2@lis.com.mx" TargetMode="External"/><Relationship Id="rId38" Type="http://schemas.openxmlformats.org/officeDocument/2006/relationships/hyperlink" Target="mailto:scguajardo16@hotmail.com" TargetMode="External"/><Relationship Id="rId2" Type="http://schemas.openxmlformats.org/officeDocument/2006/relationships/hyperlink" Target="mailto:kenapatricia.orihu@wabtec.com" TargetMode="External"/><Relationship Id="rId16" Type="http://schemas.openxmlformats.org/officeDocument/2006/relationships/hyperlink" Target="FIRMAS%20AUTORIZADAS\L001%20LOCOMOTIVE%20MANUFACTURING%20AND%20SERVICES,%20S.A.%20DE%20C.V..pdf" TargetMode="External"/><Relationship Id="rId20" Type="http://schemas.openxmlformats.org/officeDocument/2006/relationships/hyperlink" Target="FIRMAS%20AUTORIZADAS\L006%20Lubricantes%20de%20America%20S.A%20de%20C.V.pdf" TargetMode="External"/><Relationship Id="rId29" Type="http://schemas.openxmlformats.org/officeDocument/2006/relationships/hyperlink" Target="mailto:nplatas@lamisionsuper.com" TargetMode="External"/><Relationship Id="rId41" Type="http://schemas.openxmlformats.org/officeDocument/2006/relationships/hyperlink" Target="mailto:axel.daniel.galvan@LEGO.com" TargetMode="External"/><Relationship Id="rId1" Type="http://schemas.openxmlformats.org/officeDocument/2006/relationships/hyperlink" Target="mailto:kenapatricia.orihu@wabtec.com" TargetMode="External"/><Relationship Id="rId6" Type="http://schemas.openxmlformats.org/officeDocument/2006/relationships/hyperlink" Target="mailto:maysab7425@gmail.com" TargetMode="External"/><Relationship Id="rId11" Type="http://schemas.openxmlformats.org/officeDocument/2006/relationships/hyperlink" Target="mailto:ivan.lopez@lopezoria.com" TargetMode="External"/><Relationship Id="rId24" Type="http://schemas.openxmlformats.org/officeDocument/2006/relationships/hyperlink" Target="mailto:olgap@padronvillalobos.com" TargetMode="External"/><Relationship Id="rId32" Type="http://schemas.openxmlformats.org/officeDocument/2006/relationships/hyperlink" Target="mailto:rh@lis.com.mx" TargetMode="External"/><Relationship Id="rId37" Type="http://schemas.openxmlformats.org/officeDocument/2006/relationships/hyperlink" Target="mailto:nalle.25p@gmail.com" TargetMode="External"/><Relationship Id="rId40" Type="http://schemas.openxmlformats.org/officeDocument/2006/relationships/hyperlink" Target="mailto:Sotero.garc&#237;a@lego.com" TargetMode="External"/><Relationship Id="rId5" Type="http://schemas.openxmlformats.org/officeDocument/2006/relationships/hyperlink" Target="mailto:gumesalvolinares@gmail.com" TargetMode="External"/><Relationship Id="rId15" Type="http://schemas.openxmlformats.org/officeDocument/2006/relationships/hyperlink" Target="mailto:mvillanueva@lubral.com" TargetMode="External"/><Relationship Id="rId23" Type="http://schemas.openxmlformats.org/officeDocument/2006/relationships/hyperlink" Target="mailto:supervisor@padronvillalobos.com" TargetMode="External"/><Relationship Id="rId28" Type="http://schemas.openxmlformats.org/officeDocument/2006/relationships/hyperlink" Target="mailto:ildavila@lamisionsuper.com" TargetMode="External"/><Relationship Id="rId36" Type="http://schemas.openxmlformats.org/officeDocument/2006/relationships/hyperlink" Target="mailto:rocio.sanchezr@uanl.edu.mx" TargetMode="External"/><Relationship Id="rId10" Type="http://schemas.openxmlformats.org/officeDocument/2006/relationships/hyperlink" Target="mailto:dennis.oria@lopezoria.com" TargetMode="External"/><Relationship Id="rId19" Type="http://schemas.openxmlformats.org/officeDocument/2006/relationships/hyperlink" Target="FIRMAS%20AUTORIZADAS\L005%20Lopez%20Oria%20y%20Asociados.pdf" TargetMode="External"/><Relationship Id="rId31" Type="http://schemas.openxmlformats.org/officeDocument/2006/relationships/hyperlink" Target="mailto:nmena@lis.com.mx" TargetMode="External"/><Relationship Id="rId44" Type="http://schemas.openxmlformats.org/officeDocument/2006/relationships/table" Target="../tables/table13.xml"/><Relationship Id="rId4" Type="http://schemas.openxmlformats.org/officeDocument/2006/relationships/hyperlink" Target="mailto:mgonzalez@lodesa.com.mx" TargetMode="External"/><Relationship Id="rId9" Type="http://schemas.openxmlformats.org/officeDocument/2006/relationships/hyperlink" Target="mailto:lorena.gonzales@logrand.com" TargetMode="External"/><Relationship Id="rId14" Type="http://schemas.openxmlformats.org/officeDocument/2006/relationships/hyperlink" Target="mailto:msalinas@lubral.com" TargetMode="External"/><Relationship Id="rId22" Type="http://schemas.openxmlformats.org/officeDocument/2006/relationships/hyperlink" Target="mailto:hugo@Padronvillalobos.com" TargetMode="External"/><Relationship Id="rId27" Type="http://schemas.openxmlformats.org/officeDocument/2006/relationships/hyperlink" Target="mailto:egalindo@lamisionsuper.com" TargetMode="External"/><Relationship Id="rId30" Type="http://schemas.openxmlformats.org/officeDocument/2006/relationships/hyperlink" Target="FIRMAS%20AUTORIZADAS\L008%20LA%20MISION%20SUPERMERCADOS%20S.A.%20DE%20C.V..pdf" TargetMode="External"/><Relationship Id="rId35" Type="http://schemas.openxmlformats.org/officeDocument/2006/relationships/hyperlink" Target="mailto:scguajardo16@hotmail.com" TargetMode="External"/><Relationship Id="rId43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mailto:j.rodriguez@moliendas.com" TargetMode="External"/><Relationship Id="rId21" Type="http://schemas.openxmlformats.org/officeDocument/2006/relationships/hyperlink" Target="mailto:miguel.cepeda@metalsa.com" TargetMode="External"/><Relationship Id="rId42" Type="http://schemas.openxmlformats.org/officeDocument/2006/relationships/hyperlink" Target="FIRMAS%20AUTORIZADAS\M011%20Municipio%20de%20General%20Escobedo.pdf" TargetMode="External"/><Relationship Id="rId47" Type="http://schemas.openxmlformats.org/officeDocument/2006/relationships/hyperlink" Target="mailto:mallorymontiel@monsamontacargas" TargetMode="External"/><Relationship Id="rId63" Type="http://schemas.openxmlformats.org/officeDocument/2006/relationships/hyperlink" Target="mailto:eddy.montoya@midea.com" TargetMode="External"/><Relationship Id="rId68" Type="http://schemas.openxmlformats.org/officeDocument/2006/relationships/hyperlink" Target="FIRMAS%20AUTORIZADAS\M019%20Marmon%20Keystone.pdf" TargetMode="External"/><Relationship Id="rId84" Type="http://schemas.openxmlformats.org/officeDocument/2006/relationships/hyperlink" Target="mailto:contraloria@cadereyta.gob.mx" TargetMode="External"/><Relationship Id="rId89" Type="http://schemas.openxmlformats.org/officeDocument/2006/relationships/hyperlink" Target="FIRMAS%20AUTORIZADAS\M024%20MAHLE%20SHARED%20SERVICES%20MEXICO-Centro%20de%20servicios%20compartidos.pdf" TargetMode="External"/><Relationship Id="rId112" Type="http://schemas.openxmlformats.org/officeDocument/2006/relationships/hyperlink" Target="mailto:tesorero.sabinas24@gmail.com" TargetMode="External"/><Relationship Id="rId16" Type="http://schemas.openxmlformats.org/officeDocument/2006/relationships/hyperlink" Target="mailto:agarcia@maqro.com.mx" TargetMode="External"/><Relationship Id="rId107" Type="http://schemas.openxmlformats.org/officeDocument/2006/relationships/hyperlink" Target="mailto:bgalindol@gtrimex.mx" TargetMode="External"/><Relationship Id="rId11" Type="http://schemas.openxmlformats.org/officeDocument/2006/relationships/hyperlink" Target="FIRMAS%20AUTORIZADAS\M003%20MONFROY%20GROUP.pdf" TargetMode="External"/><Relationship Id="rId24" Type="http://schemas.openxmlformats.org/officeDocument/2006/relationships/hyperlink" Target="FIRMAS%20AUTORIZADAS\M007%20MIDEA.pdf" TargetMode="External"/><Relationship Id="rId32" Type="http://schemas.openxmlformats.org/officeDocument/2006/relationships/hyperlink" Target="FIRMAS%20AUTORIZADAS\M009%20MONDI%20MEXICO%20SRL%20DE%20CV.pdf" TargetMode="External"/><Relationship Id="rId37" Type="http://schemas.openxmlformats.org/officeDocument/2006/relationships/hyperlink" Target="mailto:recursos.humanos@escobedo.gob.mx" TargetMode="External"/><Relationship Id="rId40" Type="http://schemas.openxmlformats.org/officeDocument/2006/relationships/hyperlink" Target="mailto:maria.jaramillo@santiago.gob.mx" TargetMode="External"/><Relationship Id="rId45" Type="http://schemas.openxmlformats.org/officeDocument/2006/relationships/hyperlink" Target="mailto:fmontiel@monsamontacargas.com" TargetMode="External"/><Relationship Id="rId53" Type="http://schemas.openxmlformats.org/officeDocument/2006/relationships/hyperlink" Target="mailto:Matsal_contabilidad@hotmail.com" TargetMode="External"/><Relationship Id="rId58" Type="http://schemas.openxmlformats.org/officeDocument/2006/relationships/hyperlink" Target="FIRMAS%20AUTORIZADAS\M018%20MRO%20BUSSINS.pdf" TargetMode="External"/><Relationship Id="rId66" Type="http://schemas.openxmlformats.org/officeDocument/2006/relationships/hyperlink" Target="mailto:yplacencia@marmonkeys.com.mx" TargetMode="External"/><Relationship Id="rId74" Type="http://schemas.openxmlformats.org/officeDocument/2006/relationships/hyperlink" Target="mailto:jonaclopez@outlook.com" TargetMode="External"/><Relationship Id="rId79" Type="http://schemas.openxmlformats.org/officeDocument/2006/relationships/hyperlink" Target="mailto:aresendez@madisa.com" TargetMode="External"/><Relationship Id="rId87" Type="http://schemas.openxmlformats.org/officeDocument/2006/relationships/hyperlink" Target="mailto:Angelica.gamez@mahle.com" TargetMode="External"/><Relationship Id="rId102" Type="http://schemas.openxmlformats.org/officeDocument/2006/relationships/hyperlink" Target="mailto:jessica.herrera@martinezmagallanes.com" TargetMode="External"/><Relationship Id="rId110" Type="http://schemas.openxmlformats.org/officeDocument/2006/relationships/hyperlink" Target="mailto:marco.tesoreria24-27@hotmail.com" TargetMode="External"/><Relationship Id="rId115" Type="http://schemas.openxmlformats.org/officeDocument/2006/relationships/table" Target="../tables/table14.xml"/><Relationship Id="rId5" Type="http://schemas.openxmlformats.org/officeDocument/2006/relationships/hyperlink" Target="mailto:administracion@maquinados%20casillas.com" TargetMode="External"/><Relationship Id="rId61" Type="http://schemas.openxmlformats.org/officeDocument/2006/relationships/hyperlink" Target="FIRMAS%20AUTORIZADAS\M016%20Municipio%20de%20General%20Escobedo.pdf" TargetMode="External"/><Relationship Id="rId82" Type="http://schemas.openxmlformats.org/officeDocument/2006/relationships/hyperlink" Target="FIRMAS%20AUTORIZADAS\M022%20MAQUINAS%20DIESEL-Madisa%20Cat.pdf" TargetMode="External"/><Relationship Id="rId90" Type="http://schemas.openxmlformats.org/officeDocument/2006/relationships/hyperlink" Target="mailto:ofnaejecutiva@gmail.com" TargetMode="External"/><Relationship Id="rId95" Type="http://schemas.openxmlformats.org/officeDocument/2006/relationships/hyperlink" Target="mailto:reclutamiento@grupomarco.mx" TargetMode="External"/><Relationship Id="rId19" Type="http://schemas.openxmlformats.org/officeDocument/2006/relationships/hyperlink" Target="mailto:cassandra.garcia@metalsa.com" TargetMode="External"/><Relationship Id="rId14" Type="http://schemas.openxmlformats.org/officeDocument/2006/relationships/hyperlink" Target="mailto:nancy.garcia@magna.com" TargetMode="External"/><Relationship Id="rId22" Type="http://schemas.openxmlformats.org/officeDocument/2006/relationships/hyperlink" Target="FIRMAS%20AUTORIZADAS\M006%20METALSA.pdf" TargetMode="External"/><Relationship Id="rId27" Type="http://schemas.openxmlformats.org/officeDocument/2006/relationships/hyperlink" Target="mailto:contabilidad@moliendos.com" TargetMode="External"/><Relationship Id="rId30" Type="http://schemas.openxmlformats.org/officeDocument/2006/relationships/hyperlink" Target="mailto:cristhian.nunclo@mondigroup.com" TargetMode="External"/><Relationship Id="rId35" Type="http://schemas.openxmlformats.org/officeDocument/2006/relationships/hyperlink" Target="FIRMAS%20AUTORIZADAS\M010%20Mora%20y%20V&#225;zquez.pdf" TargetMode="External"/><Relationship Id="rId43" Type="http://schemas.openxmlformats.org/officeDocument/2006/relationships/hyperlink" Target="mailto:gloria@marquezcontadores.net" TargetMode="External"/><Relationship Id="rId48" Type="http://schemas.openxmlformats.org/officeDocument/2006/relationships/hyperlink" Target="mailto:Veronica.villa@marathonelectric.com" TargetMode="External"/><Relationship Id="rId56" Type="http://schemas.openxmlformats.org/officeDocument/2006/relationships/hyperlink" Target="mailto:Rodolfo.montoya@mbg.org.mx" TargetMode="External"/><Relationship Id="rId64" Type="http://schemas.openxmlformats.org/officeDocument/2006/relationships/hyperlink" Target="mailto:egarza@marmonkerystone.com.mx" TargetMode="External"/><Relationship Id="rId69" Type="http://schemas.openxmlformats.org/officeDocument/2006/relationships/hyperlink" Target="mailto:mineralin@gmail.com" TargetMode="External"/><Relationship Id="rId77" Type="http://schemas.openxmlformats.org/officeDocument/2006/relationships/hyperlink" Target="FIRMAS%20AUTORIZADAS\M021%20MANUEL%20CAPETILLO%20HERNANDEZ-CAPETILLO%20ASEOSRES..pdf" TargetMode="External"/><Relationship Id="rId100" Type="http://schemas.openxmlformats.org/officeDocument/2006/relationships/hyperlink" Target="mailto:calidad@martinezmagallanes.com" TargetMode="External"/><Relationship Id="rId105" Type="http://schemas.openxmlformats.org/officeDocument/2006/relationships/hyperlink" Target="mailto:fvarela@gtrimex.mx" TargetMode="External"/><Relationship Id="rId113" Type="http://schemas.openxmlformats.org/officeDocument/2006/relationships/hyperlink" Target="FIRMAS%20AUTORIZADAS\M030%20MUNICIPIO%20SABINAS%20HIDALGO%20NUEVO%20LEON.pdf" TargetMode="External"/><Relationship Id="rId8" Type="http://schemas.openxmlformats.org/officeDocument/2006/relationships/hyperlink" Target="mailto:gerardo.flores@monfroy.mx" TargetMode="External"/><Relationship Id="rId51" Type="http://schemas.openxmlformats.org/officeDocument/2006/relationships/hyperlink" Target="mailto:recursos.humanos@escobedo.gob.mx" TargetMode="External"/><Relationship Id="rId72" Type="http://schemas.openxmlformats.org/officeDocument/2006/relationships/hyperlink" Target="FIRMAS%20AUTORIZADAS\M020%20MINERALES%20NO%20MET&#193;LICOS%20DEL%20NORESTE.pdf" TargetMode="External"/><Relationship Id="rId80" Type="http://schemas.openxmlformats.org/officeDocument/2006/relationships/hyperlink" Target="mailto:iizaguirre@madisa.com" TargetMode="External"/><Relationship Id="rId85" Type="http://schemas.openxmlformats.org/officeDocument/2006/relationships/hyperlink" Target="FIRMAS%20AUTORIZADAS\M023%20MUNICIPIO%20DE%20CADEREYTA%20JIMENEZ%20NUEVO%20LEON-DIF%20Municipal.pdf" TargetMode="External"/><Relationship Id="rId93" Type="http://schemas.openxmlformats.org/officeDocument/2006/relationships/hyperlink" Target="mailto:isaac.madrigal1988@hotmail.com" TargetMode="External"/><Relationship Id="rId98" Type="http://schemas.openxmlformats.org/officeDocument/2006/relationships/hyperlink" Target="FIRMAS%20AUTORIZADAS\M027%20MARCO%20PANADERIA%20INDUSTRIAL-El%20nuevo%20nopa%20panaderia%20y%20pasteles.pdf" TargetMode="External"/><Relationship Id="rId3" Type="http://schemas.openxmlformats.org/officeDocument/2006/relationships/hyperlink" Target="mailto:Rh4.mma@gmuva.com" TargetMode="External"/><Relationship Id="rId12" Type="http://schemas.openxmlformats.org/officeDocument/2006/relationships/hyperlink" Target="mailto:saul.gutierrez1@magna.com" TargetMode="External"/><Relationship Id="rId17" Type="http://schemas.openxmlformats.org/officeDocument/2006/relationships/hyperlink" Target="mailto:agarcia@maqro.com.mx" TargetMode="External"/><Relationship Id="rId25" Type="http://schemas.openxmlformats.org/officeDocument/2006/relationships/hyperlink" Target="mailto:j.rodriguez@moliendas.com" TargetMode="External"/><Relationship Id="rId33" Type="http://schemas.openxmlformats.org/officeDocument/2006/relationships/hyperlink" Target="mailto:n.tovar@m-v.mx" TargetMode="External"/><Relationship Id="rId38" Type="http://schemas.openxmlformats.org/officeDocument/2006/relationships/hyperlink" Target="mailto:secretariaadministrativa@santiago.gob.mx" TargetMode="External"/><Relationship Id="rId46" Type="http://schemas.openxmlformats.org/officeDocument/2006/relationships/hyperlink" Target="mailto:fmontiel@monsamontacargas.com" TargetMode="External"/><Relationship Id="rId59" Type="http://schemas.openxmlformats.org/officeDocument/2006/relationships/hyperlink" Target="FIRMAS%20AUTORIZADAS\M013%20MC%20MARQUEZ%20CONTADORES.pdf" TargetMode="External"/><Relationship Id="rId67" Type="http://schemas.openxmlformats.org/officeDocument/2006/relationships/hyperlink" Target="mailto:ureynosa@MARMONKEYSTONE.com" TargetMode="External"/><Relationship Id="rId103" Type="http://schemas.openxmlformats.org/officeDocument/2006/relationships/hyperlink" Target="FIRMAS%20AUTORIZADAS\M028%20MART&#205;NEZ%20MAGALLANES%20CONSULTORES.pdf" TargetMode="External"/><Relationship Id="rId108" Type="http://schemas.openxmlformats.org/officeDocument/2006/relationships/hyperlink" Target="FIRMAS%20AUTORIZADAS\M029%20MOLINERA%20DE%20M&#201;XICO-Molinera%20de%20Nuevo%20Le&#243;n.pdf" TargetMode="External"/><Relationship Id="rId20" Type="http://schemas.openxmlformats.org/officeDocument/2006/relationships/hyperlink" Target="mailto:miguel.cepeda@metalsa.com" TargetMode="External"/><Relationship Id="rId41" Type="http://schemas.openxmlformats.org/officeDocument/2006/relationships/hyperlink" Target="FIRMAS%20AUTORIZADAS\M012%20MUNICIPIO%20DE%20SANTIAGO%20NUEVO%20LEON.pdf" TargetMode="External"/><Relationship Id="rId54" Type="http://schemas.openxmlformats.org/officeDocument/2006/relationships/hyperlink" Target="mailto:Matsal_contabilidad@hotmail.com" TargetMode="External"/><Relationship Id="rId62" Type="http://schemas.openxmlformats.org/officeDocument/2006/relationships/hyperlink" Target="mailto:administracion@maquinados%20casillas.com" TargetMode="External"/><Relationship Id="rId70" Type="http://schemas.openxmlformats.org/officeDocument/2006/relationships/hyperlink" Target="mailto:mineralin@gmail.com" TargetMode="External"/><Relationship Id="rId75" Type="http://schemas.openxmlformats.org/officeDocument/2006/relationships/hyperlink" Target="mailto:jonaclopez@outlook.com" TargetMode="External"/><Relationship Id="rId83" Type="http://schemas.openxmlformats.org/officeDocument/2006/relationships/hyperlink" Target="mailto:contraloria@cadereyta.gob.mx" TargetMode="External"/><Relationship Id="rId88" Type="http://schemas.openxmlformats.org/officeDocument/2006/relationships/hyperlink" Target="mailto:patricia.aurora.vera@mahle.com" TargetMode="External"/><Relationship Id="rId91" Type="http://schemas.openxmlformats.org/officeDocument/2006/relationships/hyperlink" Target="mailto:ofnaejecutiva@gmail.com" TargetMode="External"/><Relationship Id="rId96" Type="http://schemas.openxmlformats.org/officeDocument/2006/relationships/hyperlink" Target="mailto:reclutamiento@grupomarco.mx" TargetMode="External"/><Relationship Id="rId111" Type="http://schemas.openxmlformats.org/officeDocument/2006/relationships/hyperlink" Target="mailto:tinejeros57@icloud.com" TargetMode="External"/><Relationship Id="rId1" Type="http://schemas.openxmlformats.org/officeDocument/2006/relationships/hyperlink" Target="mailto:Rh1.forestal@gmuva.com" TargetMode="External"/><Relationship Id="rId6" Type="http://schemas.openxmlformats.org/officeDocument/2006/relationships/hyperlink" Target="FIRMAS%20AUTORIZADAS\M002%20Maqicsa.pdf" TargetMode="External"/><Relationship Id="rId15" Type="http://schemas.openxmlformats.org/officeDocument/2006/relationships/hyperlink" Target="FIRMAS%20AUTORIZADAS\M004%20MAGNA-Magna%20Mirror%20Systems%20Monterrey.pdf" TargetMode="External"/><Relationship Id="rId23" Type="http://schemas.openxmlformats.org/officeDocument/2006/relationships/hyperlink" Target="mailto:eddy.montoya@midea.com" TargetMode="External"/><Relationship Id="rId28" Type="http://schemas.openxmlformats.org/officeDocument/2006/relationships/hyperlink" Target="mailto:auxiliarcontable2@moliendas.com" TargetMode="External"/><Relationship Id="rId36" Type="http://schemas.openxmlformats.org/officeDocument/2006/relationships/hyperlink" Target="mailto:recursos.humanos@escobedo.gob.mx" TargetMode="External"/><Relationship Id="rId49" Type="http://schemas.openxmlformats.org/officeDocument/2006/relationships/hyperlink" Target="mailto:Veronica.villa@marathonelectric.com" TargetMode="External"/><Relationship Id="rId57" Type="http://schemas.openxmlformats.org/officeDocument/2006/relationships/hyperlink" Target="mailto:Rodolfo.montoya@mbg.org.mx" TargetMode="External"/><Relationship Id="rId106" Type="http://schemas.openxmlformats.org/officeDocument/2006/relationships/hyperlink" Target="mailto:csanchezm@gtrimex.mx" TargetMode="External"/><Relationship Id="rId114" Type="http://schemas.openxmlformats.org/officeDocument/2006/relationships/printerSettings" Target="../printerSettings/printerSettings14.bin"/><Relationship Id="rId10" Type="http://schemas.openxmlformats.org/officeDocument/2006/relationships/hyperlink" Target="mailto:miguel@monfroy.mx" TargetMode="External"/><Relationship Id="rId31" Type="http://schemas.openxmlformats.org/officeDocument/2006/relationships/hyperlink" Target="mailto:hector.carreon@mandigroup.com" TargetMode="External"/><Relationship Id="rId44" Type="http://schemas.openxmlformats.org/officeDocument/2006/relationships/hyperlink" Target="mailto:gloria@marquezcontadores.net" TargetMode="External"/><Relationship Id="rId52" Type="http://schemas.openxmlformats.org/officeDocument/2006/relationships/hyperlink" Target="mailto:recursos.humanos@escobedo.gob.mx" TargetMode="External"/><Relationship Id="rId60" Type="http://schemas.openxmlformats.org/officeDocument/2006/relationships/hyperlink" Target="FIRMAS%20AUTORIZADAS\M014%20MARAHON%20ELECTRIC%20MANUFACTURING%20OF%20MEXICO.pdf" TargetMode="External"/><Relationship Id="rId65" Type="http://schemas.openxmlformats.org/officeDocument/2006/relationships/hyperlink" Target="mailto:egarza@marmonkerystone.com.mx" TargetMode="External"/><Relationship Id="rId73" Type="http://schemas.openxmlformats.org/officeDocument/2006/relationships/hyperlink" Target="mailto:capetillo.asesores@gmail.com" TargetMode="External"/><Relationship Id="rId78" Type="http://schemas.openxmlformats.org/officeDocument/2006/relationships/hyperlink" Target="mailto:aresendez@madisa.com" TargetMode="External"/><Relationship Id="rId81" Type="http://schemas.openxmlformats.org/officeDocument/2006/relationships/hyperlink" Target="mailto:btrevino@madisa.com" TargetMode="External"/><Relationship Id="rId86" Type="http://schemas.openxmlformats.org/officeDocument/2006/relationships/hyperlink" Target="mailto:Angelica.gamez@mahle.com" TargetMode="External"/><Relationship Id="rId94" Type="http://schemas.openxmlformats.org/officeDocument/2006/relationships/hyperlink" Target="mailto:isaac.madrigal1988@hotmail.com" TargetMode="External"/><Relationship Id="rId99" Type="http://schemas.openxmlformats.org/officeDocument/2006/relationships/hyperlink" Target="FIRMAS%20AUTORIZADAS\M026%20MUNICIPIO%20DE%20CERRALVO.pdf" TargetMode="External"/><Relationship Id="rId101" Type="http://schemas.openxmlformats.org/officeDocument/2006/relationships/hyperlink" Target="mailto:calidad@martinezmagallanes.com" TargetMode="External"/><Relationship Id="rId4" Type="http://schemas.openxmlformats.org/officeDocument/2006/relationships/hyperlink" Target="FIRMAS%20AUTORIZADAS\M001%20MUVA.pdf" TargetMode="External"/><Relationship Id="rId9" Type="http://schemas.openxmlformats.org/officeDocument/2006/relationships/hyperlink" Target="mailto:eduardo.rojas@monfroy.mx" TargetMode="External"/><Relationship Id="rId13" Type="http://schemas.openxmlformats.org/officeDocument/2006/relationships/hyperlink" Target="mailto:pilar.ramos@magna.com" TargetMode="External"/><Relationship Id="rId18" Type="http://schemas.openxmlformats.org/officeDocument/2006/relationships/hyperlink" Target="FIRMAS%20AUTORIZADAS\M005%20MAQRO.pdf" TargetMode="External"/><Relationship Id="rId39" Type="http://schemas.openxmlformats.org/officeDocument/2006/relationships/hyperlink" Target="mailto:secretariaadministrativa@santiago.gob.mx" TargetMode="External"/><Relationship Id="rId109" Type="http://schemas.openxmlformats.org/officeDocument/2006/relationships/hyperlink" Target="mailto:tesorero.sabinas24@gmail.com" TargetMode="External"/><Relationship Id="rId34" Type="http://schemas.openxmlformats.org/officeDocument/2006/relationships/hyperlink" Target="mailto:l.herhandez@m-v.mx" TargetMode="External"/><Relationship Id="rId50" Type="http://schemas.openxmlformats.org/officeDocument/2006/relationships/hyperlink" Target="FIRMAS%20AUTORIZADAS\M015%20MONSA%20MONTACARGAS.pdf" TargetMode="External"/><Relationship Id="rId55" Type="http://schemas.openxmlformats.org/officeDocument/2006/relationships/hyperlink" Target="FIRMAS%20AUTORIZADAS\M017%20Materiales%20Salda&#241;a.pdf" TargetMode="External"/><Relationship Id="rId76" Type="http://schemas.openxmlformats.org/officeDocument/2006/relationships/hyperlink" Target="mailto:Esquivelvanessa812@gmail.com" TargetMode="External"/><Relationship Id="rId97" Type="http://schemas.openxmlformats.org/officeDocument/2006/relationships/hyperlink" Target="mailto:contabilidad@grupomarco.mx" TargetMode="External"/><Relationship Id="rId104" Type="http://schemas.openxmlformats.org/officeDocument/2006/relationships/hyperlink" Target="mailto:fvarela@gtrimex.mx" TargetMode="External"/><Relationship Id="rId7" Type="http://schemas.openxmlformats.org/officeDocument/2006/relationships/hyperlink" Target="mailto:gerardo.flores@monfroy.mx" TargetMode="External"/><Relationship Id="rId71" Type="http://schemas.openxmlformats.org/officeDocument/2006/relationships/hyperlink" Target="mailto:estefani.lopez@mineralesnometalicosdelnoreste.com.mx" TargetMode="External"/><Relationship Id="rId92" Type="http://schemas.openxmlformats.org/officeDocument/2006/relationships/hyperlink" Target="FIRMAS%20AUTORIZADAS\M025%20MUNICIPIO%20DE%20APODACA%20NUEVO%20LEON-Gobierno%20Municipal%20de%20Apodaca.pdf" TargetMode="External"/><Relationship Id="rId2" Type="http://schemas.openxmlformats.org/officeDocument/2006/relationships/hyperlink" Target="mailto:Rh2.mma@gmuva.com" TargetMode="External"/><Relationship Id="rId29" Type="http://schemas.openxmlformats.org/officeDocument/2006/relationships/hyperlink" Target="FIRMAS%20AUTORIZADAS\M008%20MOLIENDAS%20&amp;%20ALIMENTOS.pdf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fernanda.lopez@nangman.cmx" TargetMode="External"/><Relationship Id="rId13" Type="http://schemas.openxmlformats.org/officeDocument/2006/relationships/hyperlink" Target="mailto:danna.leyva@nemak.com" TargetMode="External"/><Relationship Id="rId18" Type="http://schemas.openxmlformats.org/officeDocument/2006/relationships/hyperlink" Target="mailto:gerencia@nissanlinares.com.mx" TargetMode="External"/><Relationship Id="rId26" Type="http://schemas.openxmlformats.org/officeDocument/2006/relationships/hyperlink" Target="FIRMAS%20AUTORIZADAS\N005%20NISSAN-Linares.pdf" TargetMode="External"/><Relationship Id="rId39" Type="http://schemas.openxmlformats.org/officeDocument/2006/relationships/printerSettings" Target="../printerSettings/printerSettings15.bin"/><Relationship Id="rId3" Type="http://schemas.openxmlformats.org/officeDocument/2006/relationships/hyperlink" Target="mailto:scantu@novasol.mx" TargetMode="External"/><Relationship Id="rId21" Type="http://schemas.openxmlformats.org/officeDocument/2006/relationships/hyperlink" Target="mailto:Anahi_valdez20@hotmail.com" TargetMode="External"/><Relationship Id="rId34" Type="http://schemas.openxmlformats.org/officeDocument/2006/relationships/hyperlink" Target="mailto:nelson2004@prodigy.net.mx" TargetMode="External"/><Relationship Id="rId7" Type="http://schemas.openxmlformats.org/officeDocument/2006/relationships/hyperlink" Target="mailto:sebastian.sosa@nanyman.mx" TargetMode="External"/><Relationship Id="rId12" Type="http://schemas.openxmlformats.org/officeDocument/2006/relationships/hyperlink" Target="mailto:ivanna.balandro@nemak.com" TargetMode="External"/><Relationship Id="rId17" Type="http://schemas.openxmlformats.org/officeDocument/2006/relationships/hyperlink" Target="mailto:contabilidad@nissanlinares.com.mx" TargetMode="External"/><Relationship Id="rId25" Type="http://schemas.openxmlformats.org/officeDocument/2006/relationships/hyperlink" Target="FIRMAS%20AUTORIZADAS\N004%20NIRA%20TRANSPORTES.pdf" TargetMode="External"/><Relationship Id="rId33" Type="http://schemas.openxmlformats.org/officeDocument/2006/relationships/hyperlink" Target="mailto:nelson2004@prodigy.net.mx" TargetMode="External"/><Relationship Id="rId38" Type="http://schemas.openxmlformats.org/officeDocument/2006/relationships/hyperlink" Target="FIRMAS%20AUTORIZADAS\N010%20Nancy%20Guadalupe%20Flores%20Serna-Asesoria%20fiscal%20y%20contable.pdf" TargetMode="External"/><Relationship Id="rId2" Type="http://schemas.openxmlformats.org/officeDocument/2006/relationships/hyperlink" Target="mailto:recursoshumanos@novasol.mx" TargetMode="External"/><Relationship Id="rId16" Type="http://schemas.openxmlformats.org/officeDocument/2006/relationships/hyperlink" Target="mailto:contabilidad@nissanlinares.com.mx" TargetMode="External"/><Relationship Id="rId20" Type="http://schemas.openxmlformats.org/officeDocument/2006/relationships/hyperlink" Target="mailto:Nancy_valdez32@hotmail.com" TargetMode="External"/><Relationship Id="rId29" Type="http://schemas.openxmlformats.org/officeDocument/2006/relationships/hyperlink" Target="FIRMAS%20AUTORIZADAS\N007%20NAZO%20REPRESENTACIONES%20Y%20SERVICIOS.pdf" TargetMode="External"/><Relationship Id="rId1" Type="http://schemas.openxmlformats.org/officeDocument/2006/relationships/hyperlink" Target="mailto:scantu@novasol.mx" TargetMode="External"/><Relationship Id="rId6" Type="http://schemas.openxmlformats.org/officeDocument/2006/relationships/hyperlink" Target="mailto:jerenias.oh@nangman.mx" TargetMode="External"/><Relationship Id="rId11" Type="http://schemas.openxmlformats.org/officeDocument/2006/relationships/hyperlink" Target="mailto:debanhi.ibarra@nemak.com" TargetMode="External"/><Relationship Id="rId24" Type="http://schemas.openxmlformats.org/officeDocument/2006/relationships/hyperlink" Target="FIRMAS%20AUTORIZADAS\N003%20NEMAK.pdf" TargetMode="External"/><Relationship Id="rId32" Type="http://schemas.openxmlformats.org/officeDocument/2006/relationships/hyperlink" Target="FIRMAS%20AUTORIZADAS\N008%20NGK%20CERAMICS%20MEXICO.pdf" TargetMode="External"/><Relationship Id="rId37" Type="http://schemas.openxmlformats.org/officeDocument/2006/relationships/hyperlink" Target="mailto:nancyflores50@hotmail.com" TargetMode="External"/><Relationship Id="rId40" Type="http://schemas.openxmlformats.org/officeDocument/2006/relationships/table" Target="../tables/table15.xml"/><Relationship Id="rId5" Type="http://schemas.openxmlformats.org/officeDocument/2006/relationships/hyperlink" Target="mailto:jerenias.oh@nangman.mx" TargetMode="External"/><Relationship Id="rId15" Type="http://schemas.openxmlformats.org/officeDocument/2006/relationships/hyperlink" Target="mailto:nira240606@outlook.com" TargetMode="External"/><Relationship Id="rId23" Type="http://schemas.openxmlformats.org/officeDocument/2006/relationships/hyperlink" Target="FIRMAS%20AUTORIZADAS\N006%20NAVASA.pdf" TargetMode="External"/><Relationship Id="rId28" Type="http://schemas.openxmlformats.org/officeDocument/2006/relationships/hyperlink" Target="mailto:Daniel.Vargas@nazo.mx" TargetMode="External"/><Relationship Id="rId36" Type="http://schemas.openxmlformats.org/officeDocument/2006/relationships/hyperlink" Target="mailto:nancyflores50@hotmail.com" TargetMode="External"/><Relationship Id="rId10" Type="http://schemas.openxmlformats.org/officeDocument/2006/relationships/hyperlink" Target="mailto:debanhi.ibarra@nemak.com" TargetMode="External"/><Relationship Id="rId19" Type="http://schemas.openxmlformats.org/officeDocument/2006/relationships/hyperlink" Target="mailto:Anahi_valdez20@hotmail.com" TargetMode="External"/><Relationship Id="rId31" Type="http://schemas.openxmlformats.org/officeDocument/2006/relationships/hyperlink" Target="mailto:marlene.cenobio@ngk.com.mx" TargetMode="External"/><Relationship Id="rId4" Type="http://schemas.openxmlformats.org/officeDocument/2006/relationships/hyperlink" Target="FIRMAS%20AUTORIZADAS\N001%20NOVASOL.pdf" TargetMode="External"/><Relationship Id="rId9" Type="http://schemas.openxmlformats.org/officeDocument/2006/relationships/hyperlink" Target="EMPRESAS%20NUEVAS\N002%20Nangman%20Logistics.pdf" TargetMode="External"/><Relationship Id="rId14" Type="http://schemas.openxmlformats.org/officeDocument/2006/relationships/hyperlink" Target="mailto:naidelynarlethovarnino@gmail.com" TargetMode="External"/><Relationship Id="rId22" Type="http://schemas.openxmlformats.org/officeDocument/2006/relationships/hyperlink" Target="mailto:Luis67_valdez@hotmail.com" TargetMode="External"/><Relationship Id="rId27" Type="http://schemas.openxmlformats.org/officeDocument/2006/relationships/hyperlink" Target="mailto:Daniel.Vargas@nazo.mx" TargetMode="External"/><Relationship Id="rId30" Type="http://schemas.openxmlformats.org/officeDocument/2006/relationships/hyperlink" Target="mailto:marlene.cenobio@ngk.com.mx" TargetMode="External"/><Relationship Id="rId35" Type="http://schemas.openxmlformats.org/officeDocument/2006/relationships/hyperlink" Target="FIRMAS%20AUTORIZADAS\N009%20NELSON%20FIDEL%20SANCHEZ%20MU&#209;OZ.pdf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FIRMAS%20AUTORIZADAS\O003%20OLF%20Asesores.pdf" TargetMode="External"/><Relationship Id="rId13" Type="http://schemas.openxmlformats.org/officeDocument/2006/relationships/hyperlink" Target="mailto:vanessa.montoya@oxxo.com" TargetMode="External"/><Relationship Id="rId18" Type="http://schemas.openxmlformats.org/officeDocument/2006/relationships/table" Target="../tables/table17.xml"/><Relationship Id="rId3" Type="http://schemas.openxmlformats.org/officeDocument/2006/relationships/hyperlink" Target="FIRMAS%20AUTORIZADAS\O001%20ODESSA.pdf" TargetMode="External"/><Relationship Id="rId7" Type="http://schemas.openxmlformats.org/officeDocument/2006/relationships/hyperlink" Target="mailto:contador01@olfmexico.com" TargetMode="External"/><Relationship Id="rId12" Type="http://schemas.openxmlformats.org/officeDocument/2006/relationships/hyperlink" Target="mailto:vanessa.montoya@oxxo.com" TargetMode="External"/><Relationship Id="rId17" Type="http://schemas.openxmlformats.org/officeDocument/2006/relationships/printerSettings" Target="../printerSettings/printerSettings17.bin"/><Relationship Id="rId2" Type="http://schemas.openxmlformats.org/officeDocument/2006/relationships/hyperlink" Target="mailto:emendez@odessa.com.mx" TargetMode="External"/><Relationship Id="rId16" Type="http://schemas.openxmlformats.org/officeDocument/2006/relationships/hyperlink" Target="mailto:contador01@olfmexico.com" TargetMode="External"/><Relationship Id="rId1" Type="http://schemas.openxmlformats.org/officeDocument/2006/relationships/hyperlink" Target="mailto:paguirre@odessa.com.mx" TargetMode="External"/><Relationship Id="rId6" Type="http://schemas.openxmlformats.org/officeDocument/2006/relationships/hyperlink" Target="FIRMAS%20AUTORIZADAS\O002%20OFICHAP.pdf" TargetMode="External"/><Relationship Id="rId11" Type="http://schemas.openxmlformats.org/officeDocument/2006/relationships/hyperlink" Target="mailto:Cinthia.rdz@oncaregroup.com" TargetMode="External"/><Relationship Id="rId5" Type="http://schemas.openxmlformats.org/officeDocument/2006/relationships/hyperlink" Target="mailto:ventas4@ofichap.com" TargetMode="External"/><Relationship Id="rId15" Type="http://schemas.openxmlformats.org/officeDocument/2006/relationships/hyperlink" Target="FIRMAS%20AUTORIZADAS\O004%20ONCARE.pdf" TargetMode="External"/><Relationship Id="rId10" Type="http://schemas.openxmlformats.org/officeDocument/2006/relationships/hyperlink" Target="mailto:Frida.Gonzales@oncaregroup.com" TargetMode="External"/><Relationship Id="rId4" Type="http://schemas.openxmlformats.org/officeDocument/2006/relationships/hyperlink" Target="mailto:ventas4@ofichap.com" TargetMode="External"/><Relationship Id="rId9" Type="http://schemas.openxmlformats.org/officeDocument/2006/relationships/hyperlink" Target="mailto:Cinthia.rdz@oncaregroup.com" TargetMode="External"/><Relationship Id="rId14" Type="http://schemas.openxmlformats.org/officeDocument/2006/relationships/hyperlink" Target="FIRMAS%20AUTORIZADAS\O005%20OXXO.pdf" TargetMode="External"/></Relationships>
</file>

<file path=xl/worksheets/_rels/sheet18.xml.rels><?xml version="1.0" encoding="UTF-8" standalone="yes"?>
<Relationships xmlns="http://schemas.openxmlformats.org/package/2006/relationships"><Relationship Id="rId26" Type="http://schemas.openxmlformats.org/officeDocument/2006/relationships/hyperlink" Target="FIRMAS%20AUTORIZADAS\P006%20PERFILES%20LM.pdf" TargetMode="External"/><Relationship Id="rId21" Type="http://schemas.openxmlformats.org/officeDocument/2006/relationships/hyperlink" Target="FIRMAS%20AUTORIZADAS\P005%20Palmex.pdf" TargetMode="External"/><Relationship Id="rId42" Type="http://schemas.openxmlformats.org/officeDocument/2006/relationships/hyperlink" Target="mailto:pasteleriaemmanuel@live.com" TargetMode="External"/><Relationship Id="rId47" Type="http://schemas.openxmlformats.org/officeDocument/2006/relationships/hyperlink" Target="mailto:ivazquez@poziksimpleadeko.com" TargetMode="External"/><Relationship Id="rId63" Type="http://schemas.openxmlformats.org/officeDocument/2006/relationships/hyperlink" Target="mailto:bgomez@privarsa.com.mx" TargetMode="External"/><Relationship Id="rId68" Type="http://schemas.openxmlformats.org/officeDocument/2006/relationships/hyperlink" Target="FIRMAS%20AUTORIZADAS\P013%20PRACTICA%20LEGAL%20Y%20FISCAL.pdf" TargetMode="External"/><Relationship Id="rId84" Type="http://schemas.openxmlformats.org/officeDocument/2006/relationships/hyperlink" Target="mailto:anaid.perez@parker.com" TargetMode="External"/><Relationship Id="rId89" Type="http://schemas.openxmlformats.org/officeDocument/2006/relationships/hyperlink" Target="FIRMAS%20AUTORIZADAS\P023%20PETROCEL%20TEMEX-alpek%20polyester.pdf" TargetMode="External"/><Relationship Id="rId2" Type="http://schemas.openxmlformats.org/officeDocument/2006/relationships/hyperlink" Target="mailto:lesly.laureano@parker.com" TargetMode="External"/><Relationship Id="rId16" Type="http://schemas.openxmlformats.org/officeDocument/2006/relationships/hyperlink" Target="mailto:dianamartinez@proydea.com" TargetMode="External"/><Relationship Id="rId29" Type="http://schemas.openxmlformats.org/officeDocument/2006/relationships/hyperlink" Target="mailto:gteran@pracame.com" TargetMode="External"/><Relationship Id="rId107" Type="http://schemas.openxmlformats.org/officeDocument/2006/relationships/hyperlink" Target="mailto:leopoldo.aguilar@nuevoleon.gob.mx" TargetMode="External"/><Relationship Id="rId11" Type="http://schemas.openxmlformats.org/officeDocument/2006/relationships/hyperlink" Target="mailto:ri@prowessteam.com.mx" TargetMode="External"/><Relationship Id="rId24" Type="http://schemas.openxmlformats.org/officeDocument/2006/relationships/hyperlink" Target="mailto:gayala@aliacer.com" TargetMode="External"/><Relationship Id="rId32" Type="http://schemas.openxmlformats.org/officeDocument/2006/relationships/hyperlink" Target="mailto:malonso@pca-IIC.com" TargetMode="External"/><Relationship Id="rId37" Type="http://schemas.openxmlformats.org/officeDocument/2006/relationships/hyperlink" Target="mailto:saif0969622@uanl.edu.mx" TargetMode="External"/><Relationship Id="rId40" Type="http://schemas.openxmlformats.org/officeDocument/2006/relationships/hyperlink" Target="mailto:pasteleriaemmanuel@live.com" TargetMode="External"/><Relationship Id="rId45" Type="http://schemas.openxmlformats.org/officeDocument/2006/relationships/hyperlink" Target="mailto:humberto@pvasesores.com" TargetMode="External"/><Relationship Id="rId53" Type="http://schemas.openxmlformats.org/officeDocument/2006/relationships/hyperlink" Target="mailto:ashleymartinez6457@gmail.com" TargetMode="External"/><Relationship Id="rId58" Type="http://schemas.openxmlformats.org/officeDocument/2006/relationships/hyperlink" Target="mailto:partalumpracticas@gmail.com" TargetMode="External"/><Relationship Id="rId66" Type="http://schemas.openxmlformats.org/officeDocument/2006/relationships/hyperlink" Target="FIRMAS%20AUTORIZADAS\P011%20PEREZ%20&amp;%20VERASTEGUI%20Y%20ASOCIADOS.pdf" TargetMode="External"/><Relationship Id="rId74" Type="http://schemas.openxmlformats.org/officeDocument/2006/relationships/hyperlink" Target="mailto:denisse.duran@preh.mx" TargetMode="External"/><Relationship Id="rId79" Type="http://schemas.openxmlformats.org/officeDocument/2006/relationships/hyperlink" Target="FIRMAS%20AUTORIZADAS\P020%20PINTURAS%20INDUSTRIALES%20Y%20AUTOMOTRICES%20GARCIA-Matriz.pdf" TargetMode="External"/><Relationship Id="rId87" Type="http://schemas.openxmlformats.org/officeDocument/2006/relationships/hyperlink" Target="mailto:marivera@alpekpolyester.com" TargetMode="External"/><Relationship Id="rId102" Type="http://schemas.openxmlformats.org/officeDocument/2006/relationships/hyperlink" Target="mailto:Paula.i.madrigal@hotmail.com" TargetMode="External"/><Relationship Id="rId110" Type="http://schemas.openxmlformats.org/officeDocument/2006/relationships/table" Target="../tables/table18.xml"/><Relationship Id="rId5" Type="http://schemas.openxmlformats.org/officeDocument/2006/relationships/hyperlink" Target="mailto:miriam.rodriguiez@infinitygroup.com.mx" TargetMode="External"/><Relationship Id="rId61" Type="http://schemas.openxmlformats.org/officeDocument/2006/relationships/hyperlink" Target="mailto:arodriguez@privarsa.com.mx" TargetMode="External"/><Relationship Id="rId82" Type="http://schemas.openxmlformats.org/officeDocument/2006/relationships/hyperlink" Target="FIRMAS%20AUTORIZADAS\P021%20PORTEO%20GLOBAL.pdf" TargetMode="External"/><Relationship Id="rId90" Type="http://schemas.openxmlformats.org/officeDocument/2006/relationships/hyperlink" Target="mailto:leslie.lopez@bebidaviva.mx" TargetMode="External"/><Relationship Id="rId95" Type="http://schemas.openxmlformats.org/officeDocument/2006/relationships/hyperlink" Target="mailto:itorres@lexport-pbd.com" TargetMode="External"/><Relationship Id="rId19" Type="http://schemas.openxmlformats.org/officeDocument/2006/relationships/hyperlink" Target="mailto:evelyn.ramirez@monarcasnacrs.com" TargetMode="External"/><Relationship Id="rId14" Type="http://schemas.openxmlformats.org/officeDocument/2006/relationships/hyperlink" Target="mailto:adres.gonzalez@proydea.com" TargetMode="External"/><Relationship Id="rId22" Type="http://schemas.openxmlformats.org/officeDocument/2006/relationships/hyperlink" Target="mailto:jpena@aliacer.com" TargetMode="External"/><Relationship Id="rId27" Type="http://schemas.openxmlformats.org/officeDocument/2006/relationships/hyperlink" Target="mailto:abrbosa@pracame.com" TargetMode="External"/><Relationship Id="rId30" Type="http://schemas.openxmlformats.org/officeDocument/2006/relationships/hyperlink" Target="FIRMAS%20AUTORIZADAS\P007%20PRACAME.pdf" TargetMode="External"/><Relationship Id="rId35" Type="http://schemas.openxmlformats.org/officeDocument/2006/relationships/hyperlink" Target="FIRMAS%20AUTORIZADAS\P008%20PRECISION%20CABLE%20ASSEMBLIES%20MEXICO.pdf" TargetMode="External"/><Relationship Id="rId43" Type="http://schemas.openxmlformats.org/officeDocument/2006/relationships/hyperlink" Target="mailto:pasteleriaemmanuel@live.com" TargetMode="External"/><Relationship Id="rId48" Type="http://schemas.openxmlformats.org/officeDocument/2006/relationships/hyperlink" Target="mailto:haydeegg@poziksnplea.com" TargetMode="External"/><Relationship Id="rId56" Type="http://schemas.openxmlformats.org/officeDocument/2006/relationships/hyperlink" Target="mailto:Emr_18@hotmail.com" TargetMode="External"/><Relationship Id="rId64" Type="http://schemas.openxmlformats.org/officeDocument/2006/relationships/hyperlink" Target="FIRMAS%20AUTORIZADAS\P028%20PROVEEDORA%20INDUSTRIAL%20VARGAS-Privarsa.pdf" TargetMode="External"/><Relationship Id="rId69" Type="http://schemas.openxmlformats.org/officeDocument/2006/relationships/hyperlink" Target="FIRMAS%20AUTORIZADAS\P014%20Preparatoria%205%20UANL.pdf" TargetMode="External"/><Relationship Id="rId77" Type="http://schemas.openxmlformats.org/officeDocument/2006/relationships/hyperlink" Target="mailto:capitalhumano@expertgroup.mx" TargetMode="External"/><Relationship Id="rId100" Type="http://schemas.openxmlformats.org/officeDocument/2006/relationships/hyperlink" Target="FIRMAS%20AUTORIZADAS\P026%20PROXIMIDAD%20Y%20LOGISTICA-OXXO.pdf" TargetMode="External"/><Relationship Id="rId105" Type="http://schemas.openxmlformats.org/officeDocument/2006/relationships/hyperlink" Target="mailto:brenda.martinez@proveedora.mx" TargetMode="External"/><Relationship Id="rId8" Type="http://schemas.openxmlformats.org/officeDocument/2006/relationships/hyperlink" Target="mailto:evargas@prowessteam.com.mx" TargetMode="External"/><Relationship Id="rId51" Type="http://schemas.openxmlformats.org/officeDocument/2006/relationships/hyperlink" Target="mailto:mcortez@plf.com.mx" TargetMode="External"/><Relationship Id="rId72" Type="http://schemas.openxmlformats.org/officeDocument/2006/relationships/hyperlink" Target="mailto:cvelazquezz@gpromax.com" TargetMode="External"/><Relationship Id="rId80" Type="http://schemas.openxmlformats.org/officeDocument/2006/relationships/hyperlink" Target="mailto:tania@acproyectos.com" TargetMode="External"/><Relationship Id="rId85" Type="http://schemas.openxmlformats.org/officeDocument/2006/relationships/hyperlink" Target="mailto:Yarethzy.Valero@parker.com" TargetMode="External"/><Relationship Id="rId93" Type="http://schemas.openxmlformats.org/officeDocument/2006/relationships/hyperlink" Target="FIRMAS%20AUTORIZADAS\P024%20PRODUCTORA%20BV-Productora%20Bebida%20Vida.pdf" TargetMode="External"/><Relationship Id="rId98" Type="http://schemas.openxmlformats.org/officeDocument/2006/relationships/hyperlink" Target="mailto:Valery.trevinotrujillo@oxxo.com" TargetMode="External"/><Relationship Id="rId3" Type="http://schemas.openxmlformats.org/officeDocument/2006/relationships/hyperlink" Target="FIRMAS%20AUTORIZADAS\P001%20PARKER%20SERVICIOS%20DE%20MEXICO%20S.A%20%20DE%20C.V.pdf" TargetMode="External"/><Relationship Id="rId12" Type="http://schemas.openxmlformats.org/officeDocument/2006/relationships/hyperlink" Target="FIRMAS%20AUTORIZADAS\P003%20PROWESS%20TEAM%20SA%20DE%20CV.pdf" TargetMode="External"/><Relationship Id="rId17" Type="http://schemas.openxmlformats.org/officeDocument/2006/relationships/hyperlink" Target="FIRMAS%20AUTORIZADAS\P004%20PROYDEA.pdf" TargetMode="External"/><Relationship Id="rId25" Type="http://schemas.openxmlformats.org/officeDocument/2006/relationships/hyperlink" Target="mailto:jpena@aliacer.com" TargetMode="External"/><Relationship Id="rId33" Type="http://schemas.openxmlformats.org/officeDocument/2006/relationships/hyperlink" Target="mailto:iheredia@pca-IIC.com" TargetMode="External"/><Relationship Id="rId38" Type="http://schemas.openxmlformats.org/officeDocument/2006/relationships/hyperlink" Target="mailto:sanjuanita.piconib@uanl.edu.mx" TargetMode="External"/><Relationship Id="rId46" Type="http://schemas.openxmlformats.org/officeDocument/2006/relationships/hyperlink" Target="mailto:haydeegg@poziksnplea.com" TargetMode="External"/><Relationship Id="rId59" Type="http://schemas.openxmlformats.org/officeDocument/2006/relationships/hyperlink" Target="FIRMAS%20AUTORIZADAS\P016%20PARTALUM.pdf" TargetMode="External"/><Relationship Id="rId67" Type="http://schemas.openxmlformats.org/officeDocument/2006/relationships/hyperlink" Target="FIRMAS%20AUTORIZADAS\P012%20POZIK%20&amp;%20SINPLEA%20DEKO.pdf" TargetMode="External"/><Relationship Id="rId103" Type="http://schemas.openxmlformats.org/officeDocument/2006/relationships/hyperlink" Target="FIRMAS%20AUTORIZADAS\P027%20PAULA%20IRENE%20MADRIGAL%20OVIEDO-Tortilleria%20Don%20Juanito.pdf" TargetMode="External"/><Relationship Id="rId108" Type="http://schemas.openxmlformats.org/officeDocument/2006/relationships/hyperlink" Target="mailto:contador.proderleon@gmail.com" TargetMode="External"/><Relationship Id="rId20" Type="http://schemas.openxmlformats.org/officeDocument/2006/relationships/hyperlink" Target="mailto:miguel.bustamante@monarcasnacrs.com" TargetMode="External"/><Relationship Id="rId41" Type="http://schemas.openxmlformats.org/officeDocument/2006/relationships/hyperlink" Target="mailto:pasteleriaemmanuel@live.com" TargetMode="External"/><Relationship Id="rId54" Type="http://schemas.openxmlformats.org/officeDocument/2006/relationships/hyperlink" Target="mailto:jose.riosa@uanl.com" TargetMode="External"/><Relationship Id="rId62" Type="http://schemas.openxmlformats.org/officeDocument/2006/relationships/hyperlink" Target="mailto:daniel.chapagd@uanl.edu.mx" TargetMode="External"/><Relationship Id="rId70" Type="http://schemas.openxmlformats.org/officeDocument/2006/relationships/hyperlink" Target="FIRMAS%20AUTORIZADAS\P015%20PROVEDOR%20DE%20DULCES%20Y%20DESECHABLES.pdf" TargetMode="External"/><Relationship Id="rId75" Type="http://schemas.openxmlformats.org/officeDocument/2006/relationships/hyperlink" Target="mailto:denisse.duran@preh.mx" TargetMode="External"/><Relationship Id="rId83" Type="http://schemas.openxmlformats.org/officeDocument/2006/relationships/hyperlink" Target="mailto:pablo.rodriguez2@parker.com" TargetMode="External"/><Relationship Id="rId88" Type="http://schemas.openxmlformats.org/officeDocument/2006/relationships/hyperlink" Target="mailto:mleond@alpekpolyester.com" TargetMode="External"/><Relationship Id="rId91" Type="http://schemas.openxmlformats.org/officeDocument/2006/relationships/hyperlink" Target="mailto:leslie.lopez@bebidaviva.mx" TargetMode="External"/><Relationship Id="rId96" Type="http://schemas.openxmlformats.org/officeDocument/2006/relationships/hyperlink" Target="mailto:egarza@lexport-pbd.com" TargetMode="External"/><Relationship Id="rId1" Type="http://schemas.openxmlformats.org/officeDocument/2006/relationships/hyperlink" Target="mailto:gloria.monreal@parker.com" TargetMode="External"/><Relationship Id="rId6" Type="http://schemas.openxmlformats.org/officeDocument/2006/relationships/hyperlink" Target="mailto:beatriz.gonzalez@infinitygroup.com.mx" TargetMode="External"/><Relationship Id="rId15" Type="http://schemas.openxmlformats.org/officeDocument/2006/relationships/hyperlink" Target="mailto:yoselin.garcia@proydea.com" TargetMode="External"/><Relationship Id="rId23" Type="http://schemas.openxmlformats.org/officeDocument/2006/relationships/hyperlink" Target="mailto:rsantana@aliacer.com" TargetMode="External"/><Relationship Id="rId28" Type="http://schemas.openxmlformats.org/officeDocument/2006/relationships/hyperlink" Target="mailto:abrbosa@pracame.com" TargetMode="External"/><Relationship Id="rId36" Type="http://schemas.openxmlformats.org/officeDocument/2006/relationships/hyperlink" Target="mailto:saif0969622@uanl.edu.mx" TargetMode="External"/><Relationship Id="rId49" Type="http://schemas.openxmlformats.org/officeDocument/2006/relationships/hyperlink" Target="mailto:amendez@poziksimpleadeko.com" TargetMode="External"/><Relationship Id="rId57" Type="http://schemas.openxmlformats.org/officeDocument/2006/relationships/hyperlink" Target="mailto:partalumpracticas@gmail.com" TargetMode="External"/><Relationship Id="rId106" Type="http://schemas.openxmlformats.org/officeDocument/2006/relationships/hyperlink" Target="FIRMAS%20AUTORIZADAS\P028%20PROVEEDORA%20DE%20CLIMAS-Bonificacion%20Salinas.pdf" TargetMode="External"/><Relationship Id="rId10" Type="http://schemas.openxmlformats.org/officeDocument/2006/relationships/hyperlink" Target="mailto:cgarcia@prowessteam.com.mx" TargetMode="External"/><Relationship Id="rId31" Type="http://schemas.openxmlformats.org/officeDocument/2006/relationships/hyperlink" Target="mailto:malonso@pca-IIC.com" TargetMode="External"/><Relationship Id="rId44" Type="http://schemas.openxmlformats.org/officeDocument/2006/relationships/hyperlink" Target="mailto:humberto@pvasesores.com" TargetMode="External"/><Relationship Id="rId52" Type="http://schemas.openxmlformats.org/officeDocument/2006/relationships/hyperlink" Target="mailto:ashleymartinez6457@gmail.com" TargetMode="External"/><Relationship Id="rId60" Type="http://schemas.openxmlformats.org/officeDocument/2006/relationships/hyperlink" Target="mailto:arodriguez@privarsa.com.mx" TargetMode="External"/><Relationship Id="rId65" Type="http://schemas.openxmlformats.org/officeDocument/2006/relationships/hyperlink" Target="FIRMAS%20AUTORIZADAS\P010%20PASTELERIA%20EMMANUEL.pdf" TargetMode="External"/><Relationship Id="rId73" Type="http://schemas.openxmlformats.org/officeDocument/2006/relationships/hyperlink" Target="FIRMAS%20AUTORIZADAS\PANEL%20REY.pdf" TargetMode="External"/><Relationship Id="rId78" Type="http://schemas.openxmlformats.org/officeDocument/2006/relationships/hyperlink" Target="mailto:capitalhumano@expertgroup.mx" TargetMode="External"/><Relationship Id="rId81" Type="http://schemas.openxmlformats.org/officeDocument/2006/relationships/hyperlink" Target="mailto:tania@acproyectos.com" TargetMode="External"/><Relationship Id="rId86" Type="http://schemas.openxmlformats.org/officeDocument/2006/relationships/hyperlink" Target="FIRMAS%20AUTORIZADAS\P022%20PARKER%20BROWNSVILLE%20SERVICIOS.pdf" TargetMode="External"/><Relationship Id="rId94" Type="http://schemas.openxmlformats.org/officeDocument/2006/relationships/hyperlink" Target="mailto:egarza@lexport-pbd.com" TargetMode="External"/><Relationship Id="rId99" Type="http://schemas.openxmlformats.org/officeDocument/2006/relationships/hyperlink" Target="FIRMAS%20AUTORIZADAS\P025%20PREMIUM%20BRAND%20DISTRIBUTOR.pdf" TargetMode="External"/><Relationship Id="rId101" Type="http://schemas.openxmlformats.org/officeDocument/2006/relationships/hyperlink" Target="mailto:Paula.i.madrigal@hotmail.com" TargetMode="External"/><Relationship Id="rId4" Type="http://schemas.openxmlformats.org/officeDocument/2006/relationships/hyperlink" Target="mailto:miriam.rodriguiez@infinitygroup.com.mx" TargetMode="External"/><Relationship Id="rId9" Type="http://schemas.openxmlformats.org/officeDocument/2006/relationships/hyperlink" Target="mailto:evargas@prowessteam.com.mx" TargetMode="External"/><Relationship Id="rId13" Type="http://schemas.openxmlformats.org/officeDocument/2006/relationships/hyperlink" Target="mailto:adres.gonzalez@proydea.com" TargetMode="External"/><Relationship Id="rId18" Type="http://schemas.openxmlformats.org/officeDocument/2006/relationships/hyperlink" Target="mailto:miguel.bustamante@monarcasnacrs.com" TargetMode="External"/><Relationship Id="rId39" Type="http://schemas.openxmlformats.org/officeDocument/2006/relationships/hyperlink" Target="FIRMAS%20AUTORIZADAS\P009%20Preparatoria%20Alvaro%20Obreg&#243;n%20Unidad%20Linares.pdf" TargetMode="External"/><Relationship Id="rId109" Type="http://schemas.openxmlformats.org/officeDocument/2006/relationships/printerSettings" Target="../printerSettings/printerSettings18.bin"/><Relationship Id="rId34" Type="http://schemas.openxmlformats.org/officeDocument/2006/relationships/hyperlink" Target="mailto:karanda@pca-Iil.com" TargetMode="External"/><Relationship Id="rId50" Type="http://schemas.openxmlformats.org/officeDocument/2006/relationships/hyperlink" Target="mailto:mcortez@plf.com.mx" TargetMode="External"/><Relationship Id="rId55" Type="http://schemas.openxmlformats.org/officeDocument/2006/relationships/hyperlink" Target="mailto:ADMONPROVEEDORA@INFINITUM.COM" TargetMode="External"/><Relationship Id="rId76" Type="http://schemas.openxmlformats.org/officeDocument/2006/relationships/hyperlink" Target="FIRMAS%20AUTORIZADAS\P019%20PREH%20DE%20MEXICO%20SA%20DE%20CV.pdf" TargetMode="External"/><Relationship Id="rId97" Type="http://schemas.openxmlformats.org/officeDocument/2006/relationships/hyperlink" Target="mailto:Valery.trevinotrujillo@oxxo.com" TargetMode="External"/><Relationship Id="rId104" Type="http://schemas.openxmlformats.org/officeDocument/2006/relationships/hyperlink" Target="mailto:brenda.martinez@proveedora.mx" TargetMode="External"/><Relationship Id="rId7" Type="http://schemas.openxmlformats.org/officeDocument/2006/relationships/hyperlink" Target="FIRMAS%20AUTORIZADAS\P002%20PROVEEDORA%20DE%20INTELIGENCIA%20GENESIS.pdf" TargetMode="External"/><Relationship Id="rId71" Type="http://schemas.openxmlformats.org/officeDocument/2006/relationships/hyperlink" Target="mailto:cvelazquezz@gpromax.com" TargetMode="External"/><Relationship Id="rId92" Type="http://schemas.openxmlformats.org/officeDocument/2006/relationships/hyperlink" Target="mailto:logistica@bebidaviva.mx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QualitySteelRH@hotmail.com" TargetMode="External"/><Relationship Id="rId13" Type="http://schemas.openxmlformats.org/officeDocument/2006/relationships/hyperlink" Target="FIRMAS%20AUTORIZADAS\Q001%20QUALTIA.pdf" TargetMode="External"/><Relationship Id="rId18" Type="http://schemas.openxmlformats.org/officeDocument/2006/relationships/hyperlink" Target="mailto:saraid.santiago@quickpak.com.mx" TargetMode="External"/><Relationship Id="rId3" Type="http://schemas.openxmlformats.org/officeDocument/2006/relationships/hyperlink" Target="mailto:acantu@quimicalderas.com" TargetMode="External"/><Relationship Id="rId21" Type="http://schemas.openxmlformats.org/officeDocument/2006/relationships/hyperlink" Target="mailto:victor.sanchez@quimmco.com" TargetMode="External"/><Relationship Id="rId7" Type="http://schemas.openxmlformats.org/officeDocument/2006/relationships/hyperlink" Target="mailto:QualitySteelAdm@hotmail.com" TargetMode="External"/><Relationship Id="rId12" Type="http://schemas.openxmlformats.org/officeDocument/2006/relationships/hyperlink" Target="mailto:aquintero@qca.com.mx" TargetMode="External"/><Relationship Id="rId17" Type="http://schemas.openxmlformats.org/officeDocument/2006/relationships/hyperlink" Target="mailto:hugo.bernal@quickpak.com.mx" TargetMode="External"/><Relationship Id="rId25" Type="http://schemas.openxmlformats.org/officeDocument/2006/relationships/table" Target="../tables/table19.xml"/><Relationship Id="rId2" Type="http://schemas.openxmlformats.org/officeDocument/2006/relationships/hyperlink" Target="mailto:irgonzal@qualita.com" TargetMode="External"/><Relationship Id="rId16" Type="http://schemas.openxmlformats.org/officeDocument/2006/relationships/hyperlink" Target="mailto:hugo.bernal@quickpak.com.mx" TargetMode="External"/><Relationship Id="rId20" Type="http://schemas.openxmlformats.org/officeDocument/2006/relationships/hyperlink" Target="FIRMAS%20AUTORIZADAS\Q005%20Quickpak.pdf" TargetMode="External"/><Relationship Id="rId1" Type="http://schemas.openxmlformats.org/officeDocument/2006/relationships/hyperlink" Target="mailto:alejandra.rodriguez@qualtia.com" TargetMode="External"/><Relationship Id="rId6" Type="http://schemas.openxmlformats.org/officeDocument/2006/relationships/hyperlink" Target="FIRMAS%20AUTORIZADAS\Q002%20Quimicalderas.pdf" TargetMode="External"/><Relationship Id="rId11" Type="http://schemas.openxmlformats.org/officeDocument/2006/relationships/hyperlink" Target="mailto:aquintero@qca.com.mx" TargetMode="External"/><Relationship Id="rId24" Type="http://schemas.openxmlformats.org/officeDocument/2006/relationships/printerSettings" Target="../printerSettings/printerSettings19.bin"/><Relationship Id="rId5" Type="http://schemas.openxmlformats.org/officeDocument/2006/relationships/hyperlink" Target="mailto:acantu@quimicalderas.com" TargetMode="External"/><Relationship Id="rId15" Type="http://schemas.openxmlformats.org/officeDocument/2006/relationships/hyperlink" Target="FIRMAS%20AUTORIZADAS\Q004%20QUINTERO%20CASTILLO%20Y%20ASOCIADOS.pdf" TargetMode="External"/><Relationship Id="rId23" Type="http://schemas.openxmlformats.org/officeDocument/2006/relationships/hyperlink" Target="FIRMAS%20AUTORIZADAS\Q006%20Quimmco.pdf" TargetMode="External"/><Relationship Id="rId10" Type="http://schemas.openxmlformats.org/officeDocument/2006/relationships/hyperlink" Target="mailto:QualitySteelVentas@hotmail.com" TargetMode="External"/><Relationship Id="rId19" Type="http://schemas.openxmlformats.org/officeDocument/2006/relationships/hyperlink" Target="mailto:operacioneslogisticas@quickpak.com.mx" TargetMode="External"/><Relationship Id="rId4" Type="http://schemas.openxmlformats.org/officeDocument/2006/relationships/hyperlink" Target="mailto:amartinez@quimicalderas.com" TargetMode="External"/><Relationship Id="rId9" Type="http://schemas.openxmlformats.org/officeDocument/2006/relationships/hyperlink" Target="mailto:QualitySteelAdm@hotmail.com" TargetMode="External"/><Relationship Id="rId14" Type="http://schemas.openxmlformats.org/officeDocument/2006/relationships/hyperlink" Target="FIRMAS%20AUTORIZADAS\Q003%20Quality%20Steel.pdf" TargetMode="External"/><Relationship Id="rId22" Type="http://schemas.openxmlformats.org/officeDocument/2006/relationships/hyperlink" Target="mailto:victor.sanchez@quimmco.com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mailto:william.hernandez@roseberger.com" TargetMode="External"/><Relationship Id="rId18" Type="http://schemas.openxmlformats.org/officeDocument/2006/relationships/hyperlink" Target="mailto:bombasdiaz@hotmail.com" TargetMode="External"/><Relationship Id="rId26" Type="http://schemas.openxmlformats.org/officeDocument/2006/relationships/hyperlink" Target="mailto:ccedillo@redgirasol.com" TargetMode="External"/><Relationship Id="rId39" Type="http://schemas.openxmlformats.org/officeDocument/2006/relationships/hyperlink" Target="FIRMAS%20AUTORIZADAS\R009%20RP%20Soluciones.pdf" TargetMode="External"/><Relationship Id="rId21" Type="http://schemas.openxmlformats.org/officeDocument/2006/relationships/hyperlink" Target="mailto:emniz@prodensa.com" TargetMode="External"/><Relationship Id="rId34" Type="http://schemas.openxmlformats.org/officeDocument/2006/relationships/hyperlink" Target="FIRMAS%20AUTORIZADAS\R012%20ROKA.pdf" TargetMode="External"/><Relationship Id="rId42" Type="http://schemas.openxmlformats.org/officeDocument/2006/relationships/hyperlink" Target="mailto:hector@rodriguezleal.mx" TargetMode="External"/><Relationship Id="rId47" Type="http://schemas.openxmlformats.org/officeDocument/2006/relationships/hyperlink" Target="mailto:Lic.gerardo.rios@gmail.com" TargetMode="External"/><Relationship Id="rId50" Type="http://schemas.openxmlformats.org/officeDocument/2006/relationships/hyperlink" Target="mailto:rh@rolotrading.com" TargetMode="External"/><Relationship Id="rId55" Type="http://schemas.openxmlformats.org/officeDocument/2006/relationships/hyperlink" Target="mailto:rey.garcia@saycom.mx" TargetMode="External"/><Relationship Id="rId7" Type="http://schemas.openxmlformats.org/officeDocument/2006/relationships/hyperlink" Target="mailto:rpsoluciones98@gmail.com" TargetMode="External"/><Relationship Id="rId12" Type="http://schemas.openxmlformats.org/officeDocument/2006/relationships/hyperlink" Target="mailto:jorge.monsivais@rosenberger.com" TargetMode="External"/><Relationship Id="rId17" Type="http://schemas.openxmlformats.org/officeDocument/2006/relationships/hyperlink" Target="mailto:bombasdiaz@hotmail.com" TargetMode="External"/><Relationship Id="rId25" Type="http://schemas.openxmlformats.org/officeDocument/2006/relationships/hyperlink" Target="mailto:apalmier@redgirasol.com" TargetMode="External"/><Relationship Id="rId33" Type="http://schemas.openxmlformats.org/officeDocument/2006/relationships/hyperlink" Target="mailto:jmendozaroka@gmail.com" TargetMode="External"/><Relationship Id="rId38" Type="http://schemas.openxmlformats.org/officeDocument/2006/relationships/hyperlink" Target="FIRMAS%20AUTORIZADAS\R008%20RED%20GIRASOL%20SAPI.pdf" TargetMode="External"/><Relationship Id="rId46" Type="http://schemas.openxmlformats.org/officeDocument/2006/relationships/hyperlink" Target="mailto:Lic.gerardo.rios@gmail.com" TargetMode="External"/><Relationship Id="rId59" Type="http://schemas.openxmlformats.org/officeDocument/2006/relationships/table" Target="../tables/table20.xml"/><Relationship Id="rId2" Type="http://schemas.openxmlformats.org/officeDocument/2006/relationships/hyperlink" Target="mailto:tanquesytolvas@gmail.com" TargetMode="External"/><Relationship Id="rId16" Type="http://schemas.openxmlformats.org/officeDocument/2006/relationships/hyperlink" Target="mailto:Juventino@ssaj.com.mx" TargetMode="External"/><Relationship Id="rId20" Type="http://schemas.openxmlformats.org/officeDocument/2006/relationships/hyperlink" Target="mailto:ambarajas@prodensa.com" TargetMode="External"/><Relationship Id="rId29" Type="http://schemas.openxmlformats.org/officeDocument/2006/relationships/hyperlink" Target="FIRMAS%20AUTORIZADAS\R011%20RED%20DE%20TALENTO%20EMPRESARIAL.pdf" TargetMode="External"/><Relationship Id="rId41" Type="http://schemas.openxmlformats.org/officeDocument/2006/relationships/hyperlink" Target="mailto:hector@rodriguezleal.mx" TargetMode="External"/><Relationship Id="rId54" Type="http://schemas.openxmlformats.org/officeDocument/2006/relationships/hyperlink" Target="FIRMAS%20AUTORIZADAS\R015%20ROLO%20TRADING%20PRODUCTS%20SA%20DE%20CV.pdf" TargetMode="External"/><Relationship Id="rId1" Type="http://schemas.openxmlformats.org/officeDocument/2006/relationships/hyperlink" Target="mailto:recepcion.redman@gmail.com" TargetMode="External"/><Relationship Id="rId6" Type="http://schemas.openxmlformats.org/officeDocument/2006/relationships/hyperlink" Target="FIRMAS%20AUTORIZADAS\R001%20REDMAN%20MANUFACTURAS.pdf" TargetMode="External"/><Relationship Id="rId11" Type="http://schemas.openxmlformats.org/officeDocument/2006/relationships/hyperlink" Target="mailto:gerardo.corona@rosenberger.com" TargetMode="External"/><Relationship Id="rId24" Type="http://schemas.openxmlformats.org/officeDocument/2006/relationships/hyperlink" Target="mailto:RpSoluciones98@gmail.com" TargetMode="External"/><Relationship Id="rId32" Type="http://schemas.openxmlformats.org/officeDocument/2006/relationships/hyperlink" Target="mailto:armandoroka92@gmail.com" TargetMode="External"/><Relationship Id="rId37" Type="http://schemas.openxmlformats.org/officeDocument/2006/relationships/hyperlink" Target="FIRMAS%20AUTORIZADAS\R007%20REZNOR.pdf" TargetMode="External"/><Relationship Id="rId40" Type="http://schemas.openxmlformats.org/officeDocument/2006/relationships/hyperlink" Target="FIRMAS%20AUTORIZADAS\R010%20RUSSELL%20BEDFORD.pdf" TargetMode="External"/><Relationship Id="rId45" Type="http://schemas.openxmlformats.org/officeDocument/2006/relationships/hyperlink" Target="FIRMAS%20AUTORIZADAS\R013%20RODRIGUEZ%20LEAL%20Y%20CIA%20SC.pdf" TargetMode="External"/><Relationship Id="rId53" Type="http://schemas.openxmlformats.org/officeDocument/2006/relationships/hyperlink" Target="mailto:contabilidad@newarx.mx" TargetMode="External"/><Relationship Id="rId58" Type="http://schemas.openxmlformats.org/officeDocument/2006/relationships/printerSettings" Target="../printerSettings/printerSettings20.bin"/><Relationship Id="rId5" Type="http://schemas.openxmlformats.org/officeDocument/2006/relationships/hyperlink" Target="FIRMAS%20AUTORIZADAS\R002%20Regal%20Beloit%20de%20Apodaca,%20S.DE%20R.L%20DE%20C.V.pdf" TargetMode="External"/><Relationship Id="rId15" Type="http://schemas.openxmlformats.org/officeDocument/2006/relationships/hyperlink" Target="mailto:Juventino@ssaj.com.mx" TargetMode="External"/><Relationship Id="rId23" Type="http://schemas.openxmlformats.org/officeDocument/2006/relationships/hyperlink" Target="mailto:RPSoluciones98@gmail.com" TargetMode="External"/><Relationship Id="rId28" Type="http://schemas.openxmlformats.org/officeDocument/2006/relationships/hyperlink" Target="mailto:jvazquez@paynau.com" TargetMode="External"/><Relationship Id="rId36" Type="http://schemas.openxmlformats.org/officeDocument/2006/relationships/hyperlink" Target="FIRMAS%20AUTORIZADAS\R006%20Recontructora%20D&#237;az.pdf" TargetMode="External"/><Relationship Id="rId49" Type="http://schemas.openxmlformats.org/officeDocument/2006/relationships/hyperlink" Target="FIRMAS%20AUTORIZADAS\R014%20RIOS%20Y%20ASOCIADOS%20CONSULTORES.pdf" TargetMode="External"/><Relationship Id="rId57" Type="http://schemas.openxmlformats.org/officeDocument/2006/relationships/hyperlink" Target="FIRMAS%20AUTORIZADAS\R016%20REYNARIO%20GARCIA%20CORONEL-Saycom%20Microsip%20Guadalupe.pdf" TargetMode="External"/><Relationship Id="rId10" Type="http://schemas.openxmlformats.org/officeDocument/2006/relationships/hyperlink" Target="FIRMAS%20AUTORIZADAS\R003%20RENOVACIONES%20POTENCIALES%20DE%20SERVICIOS%20ELECTRICOS%20E%20INDUSTRIALES.jpeg" TargetMode="External"/><Relationship Id="rId19" Type="http://schemas.openxmlformats.org/officeDocument/2006/relationships/hyperlink" Target="mailto:vgomez@prodensa,.com" TargetMode="External"/><Relationship Id="rId31" Type="http://schemas.openxmlformats.org/officeDocument/2006/relationships/hyperlink" Target="mailto:rkidderroka@gmail.com" TargetMode="External"/><Relationship Id="rId44" Type="http://schemas.openxmlformats.org/officeDocument/2006/relationships/hyperlink" Target="mailto:choilyvecinomo@outlook.com" TargetMode="External"/><Relationship Id="rId52" Type="http://schemas.openxmlformats.org/officeDocument/2006/relationships/hyperlink" Target="mailto:hector.elizondo@newarx.mx" TargetMode="External"/><Relationship Id="rId4" Type="http://schemas.openxmlformats.org/officeDocument/2006/relationships/hyperlink" Target="mailto:roberto.chavez@regalrexnord.com" TargetMode="External"/><Relationship Id="rId9" Type="http://schemas.openxmlformats.org/officeDocument/2006/relationships/hyperlink" Target="mailto:rpsoluciones98@gmail.com" TargetMode="External"/><Relationship Id="rId14" Type="http://schemas.openxmlformats.org/officeDocument/2006/relationships/hyperlink" Target="FIRMAS%20AUTORIZADAS\R004%20ROSENBERG%20MEXICO.pdf" TargetMode="External"/><Relationship Id="rId22" Type="http://schemas.openxmlformats.org/officeDocument/2006/relationships/hyperlink" Target="mailto:RPSoluciones98@gmail.com" TargetMode="External"/><Relationship Id="rId27" Type="http://schemas.openxmlformats.org/officeDocument/2006/relationships/hyperlink" Target="mailto:meyrulg@gmail.com" TargetMode="External"/><Relationship Id="rId30" Type="http://schemas.openxmlformats.org/officeDocument/2006/relationships/hyperlink" Target="mailto:rkidderroka@gmail.com" TargetMode="External"/><Relationship Id="rId35" Type="http://schemas.openxmlformats.org/officeDocument/2006/relationships/hyperlink" Target="FIRMAS%20AUTORIZADAS\R005%20RECONSTRUCTORA%20DIAZ.pdf" TargetMode="External"/><Relationship Id="rId43" Type="http://schemas.openxmlformats.org/officeDocument/2006/relationships/hyperlink" Target="mailto:recepcion@rodriguezleal.mx" TargetMode="External"/><Relationship Id="rId48" Type="http://schemas.openxmlformats.org/officeDocument/2006/relationships/hyperlink" Target="mailto:Cp.leonardo.rios@ryaconsultoria.com" TargetMode="External"/><Relationship Id="rId56" Type="http://schemas.openxmlformats.org/officeDocument/2006/relationships/hyperlink" Target="mailto:rey.garcia@saycom.mx" TargetMode="External"/><Relationship Id="rId8" Type="http://schemas.openxmlformats.org/officeDocument/2006/relationships/hyperlink" Target="mailto:rpsoluciones98@gmail.com" TargetMode="External"/><Relationship Id="rId51" Type="http://schemas.openxmlformats.org/officeDocument/2006/relationships/hyperlink" Target="mailto:rh@rolotrading.com" TargetMode="External"/><Relationship Id="rId3" Type="http://schemas.openxmlformats.org/officeDocument/2006/relationships/hyperlink" Target="mailto:tanquesytolvas@gmail.com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FIRMAS%20AUTORIZADAS\S009%20SCISA.pdf" TargetMode="External"/><Relationship Id="rId117" Type="http://schemas.openxmlformats.org/officeDocument/2006/relationships/hyperlink" Target="mailto:lucero.guerrero@symrise.com" TargetMode="External"/><Relationship Id="rId21" Type="http://schemas.openxmlformats.org/officeDocument/2006/relationships/hyperlink" Target="mailto:iramos@gsanbarr.mx" TargetMode="External"/><Relationship Id="rId42" Type="http://schemas.openxmlformats.org/officeDocument/2006/relationships/hyperlink" Target="mailto:ERNESTO.CHAPA@NUEVOLEON.GOB.MX" TargetMode="External"/><Relationship Id="rId47" Type="http://schemas.openxmlformats.org/officeDocument/2006/relationships/hyperlink" Target="mailto:jcgamez@smitheroasis.com" TargetMode="External"/><Relationship Id="rId63" Type="http://schemas.openxmlformats.org/officeDocument/2006/relationships/hyperlink" Target="FIRMAS%20AUTORIZADAS\S022%20SERVICIOS%20GASOLINEROS%20OXXO.pdf" TargetMode="External"/><Relationship Id="rId68" Type="http://schemas.openxmlformats.org/officeDocument/2006/relationships/hyperlink" Target="FIRMAS%20AUTORIZADAS\S013%20Sagastra,%20S.C..pdf" TargetMode="External"/><Relationship Id="rId84" Type="http://schemas.openxmlformats.org/officeDocument/2006/relationships/hyperlink" Target="mailto:scguajardo16@hotmail.com" TargetMode="External"/><Relationship Id="rId89" Type="http://schemas.openxmlformats.org/officeDocument/2006/relationships/hyperlink" Target="mailto:admin5@siscoprint.mx" TargetMode="External"/><Relationship Id="rId112" Type="http://schemas.openxmlformats.org/officeDocument/2006/relationships/hyperlink" Target="mailto:rh@saltulogistics.com" TargetMode="External"/><Relationship Id="rId133" Type="http://schemas.openxmlformats.org/officeDocument/2006/relationships/hyperlink" Target="mailto:judith.medina@maraga.com.mx" TargetMode="External"/><Relationship Id="rId138" Type="http://schemas.openxmlformats.org/officeDocument/2006/relationships/hyperlink" Target="mailto:ogomez@sigma-alimentos.com" TargetMode="External"/><Relationship Id="rId154" Type="http://schemas.openxmlformats.org/officeDocument/2006/relationships/hyperlink" Target="mailto:j.barrera@surtidorelectrico.com" TargetMode="External"/><Relationship Id="rId159" Type="http://schemas.openxmlformats.org/officeDocument/2006/relationships/hyperlink" Target="mailto:alondra.aguilera@afirme.com" TargetMode="External"/><Relationship Id="rId16" Type="http://schemas.openxmlformats.org/officeDocument/2006/relationships/hyperlink" Target="FIRMAS%20AUTORIZADAS\S005%20Schneider%20Electric.pdf" TargetMode="External"/><Relationship Id="rId107" Type="http://schemas.openxmlformats.org/officeDocument/2006/relationships/hyperlink" Target="mailto:nominas@scanpaint.com" TargetMode="External"/><Relationship Id="rId11" Type="http://schemas.openxmlformats.org/officeDocument/2006/relationships/hyperlink" Target="mailto:danya.aldana@stiva.com" TargetMode="External"/><Relationship Id="rId32" Type="http://schemas.openxmlformats.org/officeDocument/2006/relationships/hyperlink" Target="mailto:liliana.ramirez@sisamex.com.mx" TargetMode="External"/><Relationship Id="rId37" Type="http://schemas.openxmlformats.org/officeDocument/2006/relationships/hyperlink" Target="mailto:ahernandez@sagastra.com.mx" TargetMode="External"/><Relationship Id="rId53" Type="http://schemas.openxmlformats.org/officeDocument/2006/relationships/hyperlink" Target="mailto:amanzano@sodisa.com" TargetMode="External"/><Relationship Id="rId58" Type="http://schemas.openxmlformats.org/officeDocument/2006/relationships/hyperlink" Target="mailto:eflores@sacofi.com.mx" TargetMode="External"/><Relationship Id="rId74" Type="http://schemas.openxmlformats.org/officeDocument/2006/relationships/hyperlink" Target="FIRMAS%20AUTORIZADAS\S019%20SOLISTICA.pdf" TargetMode="External"/><Relationship Id="rId79" Type="http://schemas.openxmlformats.org/officeDocument/2006/relationships/hyperlink" Target="mailto:adriana.garcia@securitas.com.mx" TargetMode="External"/><Relationship Id="rId102" Type="http://schemas.openxmlformats.org/officeDocument/2006/relationships/hyperlink" Target="mailto:kmorenog@sigma-alimentos.com" TargetMode="External"/><Relationship Id="rId123" Type="http://schemas.openxmlformats.org/officeDocument/2006/relationships/hyperlink" Target="mailto:Myhrmx@steelcase.com" TargetMode="External"/><Relationship Id="rId128" Type="http://schemas.openxmlformats.org/officeDocument/2006/relationships/hyperlink" Target="mailto:fgarcia@gruposecovi.com" TargetMode="External"/><Relationship Id="rId144" Type="http://schemas.openxmlformats.org/officeDocument/2006/relationships/hyperlink" Target="mailto:miriam.chairez@promare.mx" TargetMode="External"/><Relationship Id="rId149" Type="http://schemas.openxmlformats.org/officeDocument/2006/relationships/hyperlink" Target="FIRMAS%20AUTORIZADAS\S041%20SERVICIOS%20INDUSTRIALES%20ANCE.pdf" TargetMode="External"/><Relationship Id="rId5" Type="http://schemas.openxmlformats.org/officeDocument/2006/relationships/hyperlink" Target="mailto:ana.ramirez@grupogaleria.com" TargetMode="External"/><Relationship Id="rId90" Type="http://schemas.openxmlformats.org/officeDocument/2006/relationships/hyperlink" Target="FIRMAS%20AUTORIZADAS\SISTEMAS%20Y%20COMBUSTIBLE%20PARA%20IMPRESIONA-%20SISCOPRINT,%20S.A.%20DE%20C.V..pdf" TargetMode="External"/><Relationship Id="rId95" Type="http://schemas.openxmlformats.org/officeDocument/2006/relationships/hyperlink" Target="mailto:jloeran@soporteg.com" TargetMode="External"/><Relationship Id="rId160" Type="http://schemas.openxmlformats.org/officeDocument/2006/relationships/hyperlink" Target="FIRMAS%20AUTORIZADAS\S044%20SEGUROS%20AFIRME%20S.A.%20DE%20C.V.%20AFIRME%20GRUPO%20FINA.pdf" TargetMode="External"/><Relationship Id="rId165" Type="http://schemas.openxmlformats.org/officeDocument/2006/relationships/table" Target="../tables/table21.xml"/><Relationship Id="rId22" Type="http://schemas.openxmlformats.org/officeDocument/2006/relationships/hyperlink" Target="mailto:reclutamientogsb2@gsanbarr.mx" TargetMode="External"/><Relationship Id="rId27" Type="http://schemas.openxmlformats.org/officeDocument/2006/relationships/hyperlink" Target="mailto:cgranados@sadm.gob.mx" TargetMode="External"/><Relationship Id="rId43" Type="http://schemas.openxmlformats.org/officeDocument/2006/relationships/hyperlink" Target="mailto:ANGELICA.JIMENEZ@NUEVOLEON.GOB.MX" TargetMode="External"/><Relationship Id="rId48" Type="http://schemas.openxmlformats.org/officeDocument/2006/relationships/hyperlink" Target="mailto:ahernandez@sagastra.com.mx" TargetMode="External"/><Relationship Id="rId64" Type="http://schemas.openxmlformats.org/officeDocument/2006/relationships/hyperlink" Target="mailto:msalas@salassalazarasoc.com" TargetMode="External"/><Relationship Id="rId69" Type="http://schemas.openxmlformats.org/officeDocument/2006/relationships/hyperlink" Target="FIRMAS%20AUTORIZADAS\S014%20SERVICIOS%20DE%20LIMPIEZA%20DE%20INMUEBLES%20WCYS.pdf" TargetMode="External"/><Relationship Id="rId113" Type="http://schemas.openxmlformats.org/officeDocument/2006/relationships/hyperlink" Target="FIRMAS%20AUTORIZADAS\S031%20SALTUS%20LOGISTICS%20SA%20DE%20CV.pdf" TargetMode="External"/><Relationship Id="rId118" Type="http://schemas.openxmlformats.org/officeDocument/2006/relationships/hyperlink" Target="FIRMAS%20AUTORIZADAS\S032%20Symrise.pdf" TargetMode="External"/><Relationship Id="rId134" Type="http://schemas.openxmlformats.org/officeDocument/2006/relationships/hyperlink" Target="mailto:carlos.lopez@maraga.com.mx" TargetMode="External"/><Relationship Id="rId139" Type="http://schemas.openxmlformats.org/officeDocument/2006/relationships/hyperlink" Target="mailto:acoronado@sigma-alimentos.com" TargetMode="External"/><Relationship Id="rId80" Type="http://schemas.openxmlformats.org/officeDocument/2006/relationships/hyperlink" Target="mailto:adriana.garcia@securitas.com.mx" TargetMode="External"/><Relationship Id="rId85" Type="http://schemas.openxmlformats.org/officeDocument/2006/relationships/hyperlink" Target="mailto:cgranados@sadm.gob.mx" TargetMode="External"/><Relationship Id="rId150" Type="http://schemas.openxmlformats.org/officeDocument/2006/relationships/hyperlink" Target="mailto:yasanchez@grupoabx.com" TargetMode="External"/><Relationship Id="rId155" Type="http://schemas.openxmlformats.org/officeDocument/2006/relationships/hyperlink" Target="mailto:j.barrera@surtidorelectrico.com" TargetMode="External"/><Relationship Id="rId12" Type="http://schemas.openxmlformats.org/officeDocument/2006/relationships/hyperlink" Target="mailto:oscar.garcia@stiva.com" TargetMode="External"/><Relationship Id="rId17" Type="http://schemas.openxmlformats.org/officeDocument/2006/relationships/hyperlink" Target="mailto:liliana.raqmirez@sisamax.com.mx" TargetMode="External"/><Relationship Id="rId33" Type="http://schemas.openxmlformats.org/officeDocument/2006/relationships/hyperlink" Target="mailto:aime.garza@sisamex.com.mx" TargetMode="External"/><Relationship Id="rId38" Type="http://schemas.openxmlformats.org/officeDocument/2006/relationships/hyperlink" Target="mailto:dhernandez@sagastra.com.mx" TargetMode="External"/><Relationship Id="rId59" Type="http://schemas.openxmlformats.org/officeDocument/2006/relationships/hyperlink" Target="mailto:rh@shn.com.mx" TargetMode="External"/><Relationship Id="rId103" Type="http://schemas.openxmlformats.org/officeDocument/2006/relationships/hyperlink" Target="FIRMAS%20AUTORIZADAS\S029%20SIGMA%20ALIMENTOS%20CORPORATIVO.pdf" TargetMode="External"/><Relationship Id="rId108" Type="http://schemas.openxmlformats.org/officeDocument/2006/relationships/hyperlink" Target="FIRMAS%20AUTORIZADAS\S030%20SCANPAINT%20SERVICIOS%20ESPECIALIZADOS.pdf" TargetMode="External"/><Relationship Id="rId124" Type="http://schemas.openxmlformats.org/officeDocument/2006/relationships/hyperlink" Target="mailto:Myhrmx@steelcase.com" TargetMode="External"/><Relationship Id="rId129" Type="http://schemas.openxmlformats.org/officeDocument/2006/relationships/hyperlink" Target="mailto:fgarcia@gruposecovi.com" TargetMode="External"/><Relationship Id="rId54" Type="http://schemas.openxmlformats.org/officeDocument/2006/relationships/hyperlink" Target="mailto:guillermina.limones@solistica.com" TargetMode="External"/><Relationship Id="rId70" Type="http://schemas.openxmlformats.org/officeDocument/2006/relationships/hyperlink" Target="FIRMAS%20AUTORIZADAS\S015%20SIMEPRODE.pdf" TargetMode="External"/><Relationship Id="rId75" Type="http://schemas.openxmlformats.org/officeDocument/2006/relationships/hyperlink" Target="FIRMAS%20AUTORIZADAS\S020%20SOLUCIONES%20ACTUALES%20CONTABLES%20Y%20FISCALES,%20SC.pdf" TargetMode="External"/><Relationship Id="rId91" Type="http://schemas.openxmlformats.org/officeDocument/2006/relationships/hyperlink" Target="mailto:contable.safcyj@gmail.com" TargetMode="External"/><Relationship Id="rId96" Type="http://schemas.openxmlformats.org/officeDocument/2006/relationships/hyperlink" Target="mailto:cgonzalezg@aquor.com" TargetMode="External"/><Relationship Id="rId140" Type="http://schemas.openxmlformats.org/officeDocument/2006/relationships/hyperlink" Target="FIRMAS%20AUTORIZADAS\S038%20SIGMA%20ALIMENTOS%20LACTEOS-Planta%20de%20Sabinas%20Hidalgo.pdf" TargetMode="External"/><Relationship Id="rId145" Type="http://schemas.openxmlformats.org/officeDocument/2006/relationships/hyperlink" Target="mailto:miriam.chairez@promare.mx" TargetMode="External"/><Relationship Id="rId161" Type="http://schemas.openxmlformats.org/officeDocument/2006/relationships/hyperlink" Target="mailto:devani.perez@sarotech.io" TargetMode="External"/><Relationship Id="rId1" Type="http://schemas.openxmlformats.org/officeDocument/2006/relationships/hyperlink" Target="mailto:b.martinez@grupoalamos.net" TargetMode="External"/><Relationship Id="rId6" Type="http://schemas.openxmlformats.org/officeDocument/2006/relationships/hyperlink" Target="mailto:ana.ramirez@grupogaleria.com" TargetMode="External"/><Relationship Id="rId15" Type="http://schemas.openxmlformats.org/officeDocument/2006/relationships/hyperlink" Target="mailto:daniela.osorio@se.com" TargetMode="External"/><Relationship Id="rId23" Type="http://schemas.openxmlformats.org/officeDocument/2006/relationships/hyperlink" Target="mailto:reclutamientogsb@gsanbarr.mx" TargetMode="External"/><Relationship Id="rId28" Type="http://schemas.openxmlformats.org/officeDocument/2006/relationships/hyperlink" Target="FIRMAS%20AUTORIZADAS\S010%20Servicios%20de%20Agua%20y%20Drenaje%20Mty.pdf" TargetMode="External"/><Relationship Id="rId36" Type="http://schemas.openxmlformats.org/officeDocument/2006/relationships/hyperlink" Target="mailto:ahernandez@sagastra.com.mx" TargetMode="External"/><Relationship Id="rId49" Type="http://schemas.openxmlformats.org/officeDocument/2006/relationships/hyperlink" Target="mailto:ahernandez@sagastra.com.mx" TargetMode="External"/><Relationship Id="rId57" Type="http://schemas.openxmlformats.org/officeDocument/2006/relationships/hyperlink" Target="mailto:eflores@sacofi.com.mx" TargetMode="External"/><Relationship Id="rId106" Type="http://schemas.openxmlformats.org/officeDocument/2006/relationships/hyperlink" Target="mailto:jesquivel@scanpaint.com" TargetMode="External"/><Relationship Id="rId114" Type="http://schemas.openxmlformats.org/officeDocument/2006/relationships/hyperlink" Target="mailto:wendy.alanis@symrise.com" TargetMode="External"/><Relationship Id="rId119" Type="http://schemas.openxmlformats.org/officeDocument/2006/relationships/hyperlink" Target="mailto:leonardo@syndesi.com.mx" TargetMode="External"/><Relationship Id="rId127" Type="http://schemas.openxmlformats.org/officeDocument/2006/relationships/hyperlink" Target="FIRMAS%20AUTORIZADAS\S035%20SERVICIOS%20EDUCATIVOS%20ALEF%20DE%20MONTERREY-Instituto%20Educativo%20ALEF.pdf" TargetMode="External"/><Relationship Id="rId10" Type="http://schemas.openxmlformats.org/officeDocument/2006/relationships/hyperlink" Target="mailto:danya.aldana@stiva.com" TargetMode="External"/><Relationship Id="rId31" Type="http://schemas.openxmlformats.org/officeDocument/2006/relationships/hyperlink" Target="FIRMAS%20AUTORIZADAS\S011%20Servicios%20de%20Inspecci&#243;n%20en%20la%20Construcci&#243;n%20SIC.pdf" TargetMode="External"/><Relationship Id="rId44" Type="http://schemas.openxmlformats.org/officeDocument/2006/relationships/hyperlink" Target="mailto:GABRIELA.SOLIS@NUEVOLEON.GOB.MX" TargetMode="External"/><Relationship Id="rId52" Type="http://schemas.openxmlformats.org/officeDocument/2006/relationships/hyperlink" Target="mailto:drubio@sodisa.com" TargetMode="External"/><Relationship Id="rId60" Type="http://schemas.openxmlformats.org/officeDocument/2006/relationships/hyperlink" Target="FIRMAS%20AUTORIZADAS\S021%20SHN%20SISTEMS%20%20HIDRONICOS%20DEL%20NORTE.pdf" TargetMode="External"/><Relationship Id="rId65" Type="http://schemas.openxmlformats.org/officeDocument/2006/relationships/hyperlink" Target="mailto:msalas@salassalazarasoc.com" TargetMode="External"/><Relationship Id="rId73" Type="http://schemas.openxmlformats.org/officeDocument/2006/relationships/hyperlink" Target="FIRMAS%20AUTORIZADAS\S018%20SODISA-Soport%20Logistico%20en%20Distribuci&#243;n%20SA%20de%20CV.pdf" TargetMode="External"/><Relationship Id="rId78" Type="http://schemas.openxmlformats.org/officeDocument/2006/relationships/hyperlink" Target="FIRMAS%20AUTORIZADAS\S024%20Sofware%20Aj.pdf" TargetMode="External"/><Relationship Id="rId81" Type="http://schemas.openxmlformats.org/officeDocument/2006/relationships/hyperlink" Target="mailto:marta.chavez@securitas.com.mx" TargetMode="External"/><Relationship Id="rId86" Type="http://schemas.openxmlformats.org/officeDocument/2006/relationships/hyperlink" Target="mailto:luisuriel@siscoprint.com" TargetMode="External"/><Relationship Id="rId94" Type="http://schemas.openxmlformats.org/officeDocument/2006/relationships/hyperlink" Target="mailto:jloeran@soporteg.com" TargetMode="External"/><Relationship Id="rId99" Type="http://schemas.openxmlformats.org/officeDocument/2006/relationships/hyperlink" Target="mailto:hsegura@sigma-alimentos.com" TargetMode="External"/><Relationship Id="rId101" Type="http://schemas.openxmlformats.org/officeDocument/2006/relationships/hyperlink" Target="mailto:sriveram@sigma-alimentos.com" TargetMode="External"/><Relationship Id="rId122" Type="http://schemas.openxmlformats.org/officeDocument/2006/relationships/hyperlink" Target="mailto:Myhrmx@steelcase.com" TargetMode="External"/><Relationship Id="rId130" Type="http://schemas.openxmlformats.org/officeDocument/2006/relationships/hyperlink" Target="mailto:DHERNANDEZ@ALEF.EDU.MX" TargetMode="External"/><Relationship Id="rId135" Type="http://schemas.openxmlformats.org/officeDocument/2006/relationships/hyperlink" Target="mailto:samantha.molina@marage.com.mx" TargetMode="External"/><Relationship Id="rId143" Type="http://schemas.openxmlformats.org/officeDocument/2006/relationships/hyperlink" Target="FIRMAS%20AUTORIZADAS\S039%20SYSTEMS%20ACUMULADORES.pdf" TargetMode="External"/><Relationship Id="rId148" Type="http://schemas.openxmlformats.org/officeDocument/2006/relationships/hyperlink" Target="mailto:angel.carvajal@serviciosance.com" TargetMode="External"/><Relationship Id="rId151" Type="http://schemas.openxmlformats.org/officeDocument/2006/relationships/hyperlink" Target="mailto:avaldez@grupoabx.com" TargetMode="External"/><Relationship Id="rId156" Type="http://schemas.openxmlformats.org/officeDocument/2006/relationships/hyperlink" Target="mailto:reclutamiento@surtidorelectrico.com" TargetMode="External"/><Relationship Id="rId164" Type="http://schemas.openxmlformats.org/officeDocument/2006/relationships/printerSettings" Target="../printerSettings/printerSettings21.bin"/><Relationship Id="rId4" Type="http://schemas.openxmlformats.org/officeDocument/2006/relationships/hyperlink" Target="mailto:ana.garcia@grupogaleria.com" TargetMode="External"/><Relationship Id="rId9" Type="http://schemas.openxmlformats.org/officeDocument/2006/relationships/hyperlink" Target="FIRMAS%20AUTORIZADAS\S003%20SISTEMAS%20COMPUTACIONALES%20INTEGRALES,%20S.A.%20DE%20C.V..pdf" TargetMode="External"/><Relationship Id="rId13" Type="http://schemas.openxmlformats.org/officeDocument/2006/relationships/hyperlink" Target="mailto:ana.norato@stiva.com" TargetMode="External"/><Relationship Id="rId18" Type="http://schemas.openxmlformats.org/officeDocument/2006/relationships/hyperlink" Target="mailto:scguajardo16@hotmail.com" TargetMode="External"/><Relationship Id="rId39" Type="http://schemas.openxmlformats.org/officeDocument/2006/relationships/hyperlink" Target="mailto:gilda@cielitolimpio.com" TargetMode="External"/><Relationship Id="rId109" Type="http://schemas.openxmlformats.org/officeDocument/2006/relationships/hyperlink" Target="mailto:aidee.trujillo@saltuslogistics.com" TargetMode="External"/><Relationship Id="rId34" Type="http://schemas.openxmlformats.org/officeDocument/2006/relationships/hyperlink" Target="mailto:azucena.gracida@sisamex.com.mx" TargetMode="External"/><Relationship Id="rId50" Type="http://schemas.openxmlformats.org/officeDocument/2006/relationships/hyperlink" Target="mailto:dhernandez@sagastra.com.mx" TargetMode="External"/><Relationship Id="rId55" Type="http://schemas.openxmlformats.org/officeDocument/2006/relationships/hyperlink" Target="mailto:guillermina.limones@solistica.com" TargetMode="External"/><Relationship Id="rId76" Type="http://schemas.openxmlformats.org/officeDocument/2006/relationships/hyperlink" Target="mailto:juventino@ssaj.com.mx" TargetMode="External"/><Relationship Id="rId97" Type="http://schemas.openxmlformats.org/officeDocument/2006/relationships/hyperlink" Target="mailto:lcastillo@soporteg.com" TargetMode="External"/><Relationship Id="rId104" Type="http://schemas.openxmlformats.org/officeDocument/2006/relationships/hyperlink" Target="mailto:Bibiana.garza@scanpaint.com" TargetMode="External"/><Relationship Id="rId120" Type="http://schemas.openxmlformats.org/officeDocument/2006/relationships/hyperlink" Target="mailto:leonardo@syndesi.com.mx" TargetMode="External"/><Relationship Id="rId125" Type="http://schemas.openxmlformats.org/officeDocument/2006/relationships/hyperlink" Target="FIRMAS%20AUTORIZADAS\S034%20STEELCASE%20MONTERREY.pdf" TargetMode="External"/><Relationship Id="rId141" Type="http://schemas.openxmlformats.org/officeDocument/2006/relationships/hyperlink" Target="mailto:Systems.acumuladores@gmail.com" TargetMode="External"/><Relationship Id="rId146" Type="http://schemas.openxmlformats.org/officeDocument/2006/relationships/hyperlink" Target="FIRMAS%20AUTORIZADAS\S040%20SERVICIOS%20FULTRA-Amparts.pdf" TargetMode="External"/><Relationship Id="rId7" Type="http://schemas.openxmlformats.org/officeDocument/2006/relationships/hyperlink" Target="FIRMAS%20AUTORIZADAS\S002%20SERVIVIOS%20CJR%20S.A%20DE%20C.V..pdf" TargetMode="External"/><Relationship Id="rId71" Type="http://schemas.openxmlformats.org/officeDocument/2006/relationships/hyperlink" Target="FIRMAS%20AUTORIZADAS\S016%20SMITHERS-OASIS%20DE%20MEXICO.pdf" TargetMode="External"/><Relationship Id="rId92" Type="http://schemas.openxmlformats.org/officeDocument/2006/relationships/hyperlink" Target="mailto:veronica.lopez@scisa.com.mx" TargetMode="External"/><Relationship Id="rId162" Type="http://schemas.openxmlformats.org/officeDocument/2006/relationships/hyperlink" Target="mailto:devani.perez@sarotech.io" TargetMode="External"/><Relationship Id="rId2" Type="http://schemas.openxmlformats.org/officeDocument/2006/relationships/hyperlink" Target="mailto:y.paz@grupoalamos.net" TargetMode="External"/><Relationship Id="rId29" Type="http://schemas.openxmlformats.org/officeDocument/2006/relationships/hyperlink" Target="mailto:sic_moya@hotmail.com" TargetMode="External"/><Relationship Id="rId24" Type="http://schemas.openxmlformats.org/officeDocument/2006/relationships/hyperlink" Target="FIRMAS%20AUTORIZADAS\S008%20SanBarr%20Grupo.pdf" TargetMode="External"/><Relationship Id="rId40" Type="http://schemas.openxmlformats.org/officeDocument/2006/relationships/hyperlink" Target="mailto:gilda@cielitolimpio.com" TargetMode="External"/><Relationship Id="rId45" Type="http://schemas.openxmlformats.org/officeDocument/2006/relationships/hyperlink" Target="mailto:ccuellar@smitheroasis.com" TargetMode="External"/><Relationship Id="rId66" Type="http://schemas.openxmlformats.org/officeDocument/2006/relationships/hyperlink" Target="mailto:contacto@salassalazarasoc.com" TargetMode="External"/><Relationship Id="rId87" Type="http://schemas.openxmlformats.org/officeDocument/2006/relationships/hyperlink" Target="mailto:luisuriel@siscoprint.com" TargetMode="External"/><Relationship Id="rId110" Type="http://schemas.openxmlformats.org/officeDocument/2006/relationships/hyperlink" Target="mailto:anahisamador@saltulogistics.com" TargetMode="External"/><Relationship Id="rId115" Type="http://schemas.openxmlformats.org/officeDocument/2006/relationships/hyperlink" Target="mailto:wendy.alanis@symrise.com" TargetMode="External"/><Relationship Id="rId131" Type="http://schemas.openxmlformats.org/officeDocument/2006/relationships/hyperlink" Target="FIRMAS%20AUTORIZADAS\S036%20SECOVI%20SAPI%20DE%20CV.pdf" TargetMode="External"/><Relationship Id="rId136" Type="http://schemas.openxmlformats.org/officeDocument/2006/relationships/hyperlink" Target="FIRMAS%20AUTORIZADAS\S037%20SEGUETAS%20LENMEX-Maraga.pdf" TargetMode="External"/><Relationship Id="rId157" Type="http://schemas.openxmlformats.org/officeDocument/2006/relationships/hyperlink" Target="FIRMAS%20AUTORIZADAS\S043%20SURTIDOR%20ELECTRICO%20DE%20MONTERREY%20S.A%20DE%20C.V..pdf" TargetMode="External"/><Relationship Id="rId61" Type="http://schemas.openxmlformats.org/officeDocument/2006/relationships/hyperlink" Target="mailto:cesia.gonzales@oxxogas.com" TargetMode="External"/><Relationship Id="rId82" Type="http://schemas.openxmlformats.org/officeDocument/2006/relationships/hyperlink" Target="FIRMAS%20AUTORIZADAS\S025%20SECURITAS.pdf" TargetMode="External"/><Relationship Id="rId152" Type="http://schemas.openxmlformats.org/officeDocument/2006/relationships/hyperlink" Target="mailto:yasanchez@grupoabx.com" TargetMode="External"/><Relationship Id="rId19" Type="http://schemas.openxmlformats.org/officeDocument/2006/relationships/hyperlink" Target="FIRMAS%20AUTORIZADAS\S007%20SERVICIOS%20CONTABLES%20GUAJARDO.pdf" TargetMode="External"/><Relationship Id="rId14" Type="http://schemas.openxmlformats.org/officeDocument/2006/relationships/hyperlink" Target="EMPRESAS%20NUEVAS\S004%20STIVA.pdf" TargetMode="External"/><Relationship Id="rId30" Type="http://schemas.openxmlformats.org/officeDocument/2006/relationships/hyperlink" Target="mailto:sic_0404@outlook.com" TargetMode="External"/><Relationship Id="rId35" Type="http://schemas.openxmlformats.org/officeDocument/2006/relationships/hyperlink" Target="FIRMAS%20AUTORIZADAS\S012%20SISTEMAS%20AUTOMOTRICES%20DE%20MEXICO.pdf" TargetMode="External"/><Relationship Id="rId56" Type="http://schemas.openxmlformats.org/officeDocument/2006/relationships/hyperlink" Target="mailto:jose.taraco@solistica.com" TargetMode="External"/><Relationship Id="rId77" Type="http://schemas.openxmlformats.org/officeDocument/2006/relationships/hyperlink" Target="mailto:juventino@ssaj.com.mx" TargetMode="External"/><Relationship Id="rId100" Type="http://schemas.openxmlformats.org/officeDocument/2006/relationships/hyperlink" Target="mailto:hsegura@sigma-alimentos.com" TargetMode="External"/><Relationship Id="rId105" Type="http://schemas.openxmlformats.org/officeDocument/2006/relationships/hyperlink" Target="mailto:Bibiana.garza@scanpaint.com" TargetMode="External"/><Relationship Id="rId126" Type="http://schemas.openxmlformats.org/officeDocument/2006/relationships/hyperlink" Target="mailto:DHERNANDEZ@ALEF.EDU.MX" TargetMode="External"/><Relationship Id="rId147" Type="http://schemas.openxmlformats.org/officeDocument/2006/relationships/hyperlink" Target="mailto:angel.carvajal@serviciosance.com" TargetMode="External"/><Relationship Id="rId8" Type="http://schemas.openxmlformats.org/officeDocument/2006/relationships/hyperlink" Target="mailto:veronica.lopez@scisa.com.mx" TargetMode="External"/><Relationship Id="rId51" Type="http://schemas.openxmlformats.org/officeDocument/2006/relationships/hyperlink" Target="mailto:amanzano@sodisa.com" TargetMode="External"/><Relationship Id="rId72" Type="http://schemas.openxmlformats.org/officeDocument/2006/relationships/hyperlink" Target="FIRMAS%20AUTORIZADAS\S017%20SOCIO%20EN%20&#193;REA%20CONTABLE%20Y%20FISCAL.pdf" TargetMode="External"/><Relationship Id="rId93" Type="http://schemas.openxmlformats.org/officeDocument/2006/relationships/hyperlink" Target="FIRMAS%20AUTORIZADAS\SERVICIOS%20ADMINISTRATIVOS%20FISCALES%20CONTABLES%20Y%20JURIDICOS.pdf" TargetMode="External"/><Relationship Id="rId98" Type="http://schemas.openxmlformats.org/officeDocument/2006/relationships/hyperlink" Target="FIRMAS%20AUTORIZADAS\S028%20SOPORTE%20GENERAL%20SA%20DE%20CV.pdf" TargetMode="External"/><Relationship Id="rId121" Type="http://schemas.openxmlformats.org/officeDocument/2006/relationships/hyperlink" Target="FIRMAS%20AUTORIZADAS\S033%20SYNDESI%20RH-Syndesi%20Talento%20Humano.pdf" TargetMode="External"/><Relationship Id="rId142" Type="http://schemas.openxmlformats.org/officeDocument/2006/relationships/hyperlink" Target="mailto:Systems.acumuladores@gmail.com" TargetMode="External"/><Relationship Id="rId163" Type="http://schemas.openxmlformats.org/officeDocument/2006/relationships/hyperlink" Target="FIRMAS%20AUTORIZADAS\S045%20SARO%20TECH.pdf" TargetMode="External"/><Relationship Id="rId3" Type="http://schemas.openxmlformats.org/officeDocument/2006/relationships/hyperlink" Target="FIRMAS%20AUTORIZADAS\S001%20Servicios%20de%20Transporte%20Alamo.pdf" TargetMode="External"/><Relationship Id="rId25" Type="http://schemas.openxmlformats.org/officeDocument/2006/relationships/hyperlink" Target="mailto:gabriela.fernandez@scisa.com.mx" TargetMode="External"/><Relationship Id="rId46" Type="http://schemas.openxmlformats.org/officeDocument/2006/relationships/hyperlink" Target="mailto:sramos@smitheroasis.com" TargetMode="External"/><Relationship Id="rId67" Type="http://schemas.openxmlformats.org/officeDocument/2006/relationships/hyperlink" Target="FIRMAS%20AUTORIZADAS\S023%20SALAS%20SALAZAR%20Y%20ASOCIADOS.pdf" TargetMode="External"/><Relationship Id="rId116" Type="http://schemas.openxmlformats.org/officeDocument/2006/relationships/hyperlink" Target="mailto:angelica.lopez@symrise.com" TargetMode="External"/><Relationship Id="rId137" Type="http://schemas.openxmlformats.org/officeDocument/2006/relationships/hyperlink" Target="mailto:acoronado@sigma-alimentos.com" TargetMode="External"/><Relationship Id="rId158" Type="http://schemas.openxmlformats.org/officeDocument/2006/relationships/hyperlink" Target="mailto:erika.cepeda@afirme.com" TargetMode="External"/><Relationship Id="rId20" Type="http://schemas.openxmlformats.org/officeDocument/2006/relationships/hyperlink" Target="FIRMAS%20AUTORIZADAS\S006%20SISAMEX.pdf" TargetMode="External"/><Relationship Id="rId41" Type="http://schemas.openxmlformats.org/officeDocument/2006/relationships/hyperlink" Target="mailto:ERNESTO.CHAPA@NUEVOLEON.GOB.MX" TargetMode="External"/><Relationship Id="rId62" Type="http://schemas.openxmlformats.org/officeDocument/2006/relationships/hyperlink" Target="mailto:cesia.gonzales@oxxogas.com" TargetMode="External"/><Relationship Id="rId83" Type="http://schemas.openxmlformats.org/officeDocument/2006/relationships/hyperlink" Target="mailto:daniela.osorio@se.com" TargetMode="External"/><Relationship Id="rId88" Type="http://schemas.openxmlformats.org/officeDocument/2006/relationships/hyperlink" Target="mailto:contabilidad@siscoprint.com" TargetMode="External"/><Relationship Id="rId111" Type="http://schemas.openxmlformats.org/officeDocument/2006/relationships/hyperlink" Target="mailto:aidee.trujillo@saltuslogistics.com" TargetMode="External"/><Relationship Id="rId132" Type="http://schemas.openxmlformats.org/officeDocument/2006/relationships/hyperlink" Target="mailto:judith.medina@maraga.com.mx" TargetMode="External"/><Relationship Id="rId153" Type="http://schemas.openxmlformats.org/officeDocument/2006/relationships/hyperlink" Target="FIRMAS%20AUTORIZADAS\S042%20SOPORTE%20INDUSTRIAL%20MAQUILACERO-ABX%20Steel%20Solution.pdf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administracion@tecnocam.com.mx" TargetMode="External"/><Relationship Id="rId18" Type="http://schemas.openxmlformats.org/officeDocument/2006/relationships/hyperlink" Target="mailto:hector.sauceda@talisis.com" TargetMode="External"/><Relationship Id="rId26" Type="http://schemas.openxmlformats.org/officeDocument/2006/relationships/hyperlink" Target="mailto:karla.mata@terex.com" TargetMode="External"/><Relationship Id="rId39" Type="http://schemas.openxmlformats.org/officeDocument/2006/relationships/hyperlink" Target="FIRMAS%20AUTORIZADAS\T012%20TRUMPF%20MEXICO.pdf" TargetMode="External"/><Relationship Id="rId21" Type="http://schemas.openxmlformats.org/officeDocument/2006/relationships/hyperlink" Target="FIRMAS%20AUTORIZADAS\T007%20TALISIS.pdf" TargetMode="External"/><Relationship Id="rId34" Type="http://schemas.openxmlformats.org/officeDocument/2006/relationships/hyperlink" Target="FIRMAS%20AUTORIZADAS\T011%20TRAUST.pdf" TargetMode="External"/><Relationship Id="rId42" Type="http://schemas.openxmlformats.org/officeDocument/2006/relationships/hyperlink" Target="mailto:reclutamiento@technochairs" TargetMode="External"/><Relationship Id="rId47" Type="http://schemas.openxmlformats.org/officeDocument/2006/relationships/hyperlink" Target="mailto:Patricia.navarro@thierica.com" TargetMode="External"/><Relationship Id="rId50" Type="http://schemas.openxmlformats.org/officeDocument/2006/relationships/hyperlink" Target="mailto:samuel_luna97@hotmail.com" TargetMode="External"/><Relationship Id="rId55" Type="http://schemas.openxmlformats.org/officeDocument/2006/relationships/hyperlink" Target="FIRMAS%20AUTORIZADAS\T014%20TEMPEL.pdf" TargetMode="External"/><Relationship Id="rId63" Type="http://schemas.openxmlformats.org/officeDocument/2006/relationships/hyperlink" Target="mailto:c.lsaucedo@ternium.com.mx" TargetMode="External"/><Relationship Id="rId68" Type="http://schemas.openxmlformats.org/officeDocument/2006/relationships/hyperlink" Target="mailto:ana.villarreal@uberfreigth.com" TargetMode="External"/><Relationship Id="rId76" Type="http://schemas.openxmlformats.org/officeDocument/2006/relationships/printerSettings" Target="../printerSettings/printerSettings22.bin"/><Relationship Id="rId7" Type="http://schemas.openxmlformats.org/officeDocument/2006/relationships/hyperlink" Target="mailto:administracion@toi.com.mx" TargetMode="External"/><Relationship Id="rId71" Type="http://schemas.openxmlformats.org/officeDocument/2006/relationships/hyperlink" Target="mailto:brenda.bernal@Hh.com.mx" TargetMode="External"/><Relationship Id="rId2" Type="http://schemas.openxmlformats.org/officeDocument/2006/relationships/hyperlink" Target="mailto:tramex.recursoshumanos@gmail.com" TargetMode="External"/><Relationship Id="rId16" Type="http://schemas.openxmlformats.org/officeDocument/2006/relationships/hyperlink" Target="mailto:israeljuarez@talentologistico.com" TargetMode="External"/><Relationship Id="rId29" Type="http://schemas.openxmlformats.org/officeDocument/2006/relationships/hyperlink" Target="mailto:diego.barcenas@yotainnova.com.mx" TargetMode="External"/><Relationship Id="rId11" Type="http://schemas.openxmlformats.org/officeDocument/2006/relationships/hyperlink" Target="mailto:administracion@tecnocam.com.mx" TargetMode="External"/><Relationship Id="rId24" Type="http://schemas.openxmlformats.org/officeDocument/2006/relationships/hyperlink" Target="FIRMAS%20AUTORIZADAS\T008%20Techgen.pdf" TargetMode="External"/><Relationship Id="rId32" Type="http://schemas.openxmlformats.org/officeDocument/2006/relationships/hyperlink" Target="mailto:rvillareal@traust.mx" TargetMode="External"/><Relationship Id="rId37" Type="http://schemas.openxmlformats.org/officeDocument/2006/relationships/hyperlink" Target="mailto:damian.rivera@trumpf.com" TargetMode="External"/><Relationship Id="rId40" Type="http://schemas.openxmlformats.org/officeDocument/2006/relationships/hyperlink" Target="mailto:recursoshumanos@technochairs" TargetMode="External"/><Relationship Id="rId45" Type="http://schemas.openxmlformats.org/officeDocument/2006/relationships/hyperlink" Target="mailto:Jesus.silva@Theirica.com" TargetMode="External"/><Relationship Id="rId53" Type="http://schemas.openxmlformats.org/officeDocument/2006/relationships/hyperlink" Target="FIRMAS%20AUTORIZADAS\T016%20TALLERES%20BARRERA.pdf" TargetMode="External"/><Relationship Id="rId58" Type="http://schemas.openxmlformats.org/officeDocument/2006/relationships/hyperlink" Target="mailto:Patricia.Marquez@tecma.com" TargetMode="External"/><Relationship Id="rId66" Type="http://schemas.openxmlformats.org/officeDocument/2006/relationships/hyperlink" Target="mailto:guadalupe.oliva@transportesmty.com.mx" TargetMode="External"/><Relationship Id="rId74" Type="http://schemas.openxmlformats.org/officeDocument/2006/relationships/hyperlink" Target="mailto:aylin.quiroz@Hh.com.mx" TargetMode="External"/><Relationship Id="rId5" Type="http://schemas.openxmlformats.org/officeDocument/2006/relationships/hyperlink" Target="mailto:evelin.ramirez@trouwnutrition.com" TargetMode="External"/><Relationship Id="rId15" Type="http://schemas.openxmlformats.org/officeDocument/2006/relationships/hyperlink" Target="EMPRESAS%20NUEVAS\T004%20Tecnocamaras,%20S.A.%20de%20C.V..pdf" TargetMode="External"/><Relationship Id="rId23" Type="http://schemas.openxmlformats.org/officeDocument/2006/relationships/hyperlink" Target="mailto:miguel.badillo@techgen.mx" TargetMode="External"/><Relationship Id="rId28" Type="http://schemas.openxmlformats.org/officeDocument/2006/relationships/hyperlink" Target="mailto:norely.carranza@lexusmonterrey.mx" TargetMode="External"/><Relationship Id="rId36" Type="http://schemas.openxmlformats.org/officeDocument/2006/relationships/hyperlink" Target="mailto:marcelo.ramirez@trumpt.com" TargetMode="External"/><Relationship Id="rId49" Type="http://schemas.openxmlformats.org/officeDocument/2006/relationships/hyperlink" Target="mailto:samuel_luna97@hotmail.com" TargetMode="External"/><Relationship Id="rId57" Type="http://schemas.openxmlformats.org/officeDocument/2006/relationships/hyperlink" Target="mailto:Azu-alva98@tecma.com" TargetMode="External"/><Relationship Id="rId61" Type="http://schemas.openxmlformats.org/officeDocument/2006/relationships/hyperlink" Target="mailto:cgarza@zenitus.com" TargetMode="External"/><Relationship Id="rId10" Type="http://schemas.openxmlformats.org/officeDocument/2006/relationships/hyperlink" Target="FIRMAS%20AUTORIZADAS\T003%20TU%20OPCION%20INTELIGENTE.pdf" TargetMode="External"/><Relationship Id="rId19" Type="http://schemas.openxmlformats.org/officeDocument/2006/relationships/hyperlink" Target="mailto:hector.sauceda@talisis.com" TargetMode="External"/><Relationship Id="rId31" Type="http://schemas.openxmlformats.org/officeDocument/2006/relationships/hyperlink" Target="mailto:rvillareal@traust.mx" TargetMode="External"/><Relationship Id="rId44" Type="http://schemas.openxmlformats.org/officeDocument/2006/relationships/hyperlink" Target="mailto:msegovia@tempel.com" TargetMode="External"/><Relationship Id="rId52" Type="http://schemas.openxmlformats.org/officeDocument/2006/relationships/hyperlink" Target="mailto:compras@talleresbarrera.com" TargetMode="External"/><Relationship Id="rId60" Type="http://schemas.openxmlformats.org/officeDocument/2006/relationships/hyperlink" Target="mailto:cgarza@zenitus.com" TargetMode="External"/><Relationship Id="rId65" Type="http://schemas.openxmlformats.org/officeDocument/2006/relationships/hyperlink" Target="mailto:guadalupe.oliva@transportesmty.com.mx" TargetMode="External"/><Relationship Id="rId73" Type="http://schemas.openxmlformats.org/officeDocument/2006/relationships/hyperlink" Target="mailto:susana.arevalo@Hh.com.mx" TargetMode="External"/><Relationship Id="rId4" Type="http://schemas.openxmlformats.org/officeDocument/2006/relationships/hyperlink" Target="mailto:jose.velazquez@trouwnutrition.com" TargetMode="External"/><Relationship Id="rId9" Type="http://schemas.openxmlformats.org/officeDocument/2006/relationships/hyperlink" Target="mailto:aux.adm@toi.com.mx" TargetMode="External"/><Relationship Id="rId14" Type="http://schemas.openxmlformats.org/officeDocument/2006/relationships/hyperlink" Target="mailto:operaciones@tecnocam.com.mx" TargetMode="External"/><Relationship Id="rId22" Type="http://schemas.openxmlformats.org/officeDocument/2006/relationships/hyperlink" Target="mailto:edgar.jimenez@tecpetrol.com" TargetMode="External"/><Relationship Id="rId27" Type="http://schemas.openxmlformats.org/officeDocument/2006/relationships/hyperlink" Target="FIRMAS%20AUTORIZADAS\T010%20TEREX%20GENIE.pdf" TargetMode="External"/><Relationship Id="rId30" Type="http://schemas.openxmlformats.org/officeDocument/2006/relationships/hyperlink" Target="FIRMAS%20AUTORIZADAS\T010%20TOYOTA.pdf" TargetMode="External"/><Relationship Id="rId35" Type="http://schemas.openxmlformats.org/officeDocument/2006/relationships/hyperlink" Target="mailto:damian.rivera@trumpf.com" TargetMode="External"/><Relationship Id="rId43" Type="http://schemas.openxmlformats.org/officeDocument/2006/relationships/hyperlink" Target="mailto:isuarez@tempel.com" TargetMode="External"/><Relationship Id="rId48" Type="http://schemas.openxmlformats.org/officeDocument/2006/relationships/hyperlink" Target="FIRMAS%20AUTORIZADAS\T015%20THIERICA.pdf" TargetMode="External"/><Relationship Id="rId56" Type="http://schemas.openxmlformats.org/officeDocument/2006/relationships/hyperlink" Target="FIRMAS%20AUTORIZADAS\T009%20TEREX%20GENIE.pdf" TargetMode="External"/><Relationship Id="rId64" Type="http://schemas.openxmlformats.org/officeDocument/2006/relationships/hyperlink" Target="FIRMAS%20AUTORIZADAS\T019%20TERNIUM%20MEXICO%20SA%20DE%20CV.pdf" TargetMode="External"/><Relationship Id="rId69" Type="http://schemas.openxmlformats.org/officeDocument/2006/relationships/hyperlink" Target="mailto:ana.villarreal@uberfreigth.com" TargetMode="External"/><Relationship Id="rId77" Type="http://schemas.openxmlformats.org/officeDocument/2006/relationships/table" Target="../tables/table22.xml"/><Relationship Id="rId8" Type="http://schemas.openxmlformats.org/officeDocument/2006/relationships/hyperlink" Target="mailto:administracion@toi.com.mx" TargetMode="External"/><Relationship Id="rId51" Type="http://schemas.openxmlformats.org/officeDocument/2006/relationships/hyperlink" Target="mailto:barrera@talleresbarrera.com" TargetMode="External"/><Relationship Id="rId72" Type="http://schemas.openxmlformats.org/officeDocument/2006/relationships/hyperlink" Target="mailto:brenda.bernal@Hh.com.mx" TargetMode="External"/><Relationship Id="rId3" Type="http://schemas.openxmlformats.org/officeDocument/2006/relationships/hyperlink" Target="FIRMAS%20AUTORIZADAS\T001%20TRAMEX%20AMBIENTAL%20S.A.%20DE%20C.V..pdf" TargetMode="External"/><Relationship Id="rId12" Type="http://schemas.openxmlformats.org/officeDocument/2006/relationships/hyperlink" Target="mailto:eduardp@tecnocam.com.mx" TargetMode="External"/><Relationship Id="rId17" Type="http://schemas.openxmlformats.org/officeDocument/2006/relationships/hyperlink" Target="FIRMAS%20AUTORIZADAS\T006%20TALENTO%20LOGISTICO-%20TEACHNNOVA.pdf" TargetMode="External"/><Relationship Id="rId25" Type="http://schemas.openxmlformats.org/officeDocument/2006/relationships/hyperlink" Target="mailto:felipe.cortez@tekni-plex.com" TargetMode="External"/><Relationship Id="rId33" Type="http://schemas.openxmlformats.org/officeDocument/2006/relationships/hyperlink" Target="mailto:kperez@traust.mc" TargetMode="External"/><Relationship Id="rId38" Type="http://schemas.openxmlformats.org/officeDocument/2006/relationships/hyperlink" Target="mailto:barbara.valdesnch@uanl.edu.mx" TargetMode="External"/><Relationship Id="rId46" Type="http://schemas.openxmlformats.org/officeDocument/2006/relationships/hyperlink" Target="mailto:Juan.leija@thierica.com" TargetMode="External"/><Relationship Id="rId59" Type="http://schemas.openxmlformats.org/officeDocument/2006/relationships/hyperlink" Target="FIRMAS%20AUTORIZADAS\T016%20TECMA.pdf" TargetMode="External"/><Relationship Id="rId67" Type="http://schemas.openxmlformats.org/officeDocument/2006/relationships/hyperlink" Target="FIRMAS%20AUTORIZADAS\T020%20TRANSPORTES%20MONTERREY-Trayecto.pdf" TargetMode="External"/><Relationship Id="rId20" Type="http://schemas.openxmlformats.org/officeDocument/2006/relationships/hyperlink" Target="mailto:daniel.banda@talisis.com" TargetMode="External"/><Relationship Id="rId41" Type="http://schemas.openxmlformats.org/officeDocument/2006/relationships/hyperlink" Target="mailto:recursoshumanos@technochairs" TargetMode="External"/><Relationship Id="rId54" Type="http://schemas.openxmlformats.org/officeDocument/2006/relationships/hyperlink" Target="FIRMAS%20AUTORIZADAS\T013%20Technochairs.pdf" TargetMode="External"/><Relationship Id="rId62" Type="http://schemas.openxmlformats.org/officeDocument/2006/relationships/hyperlink" Target="FIRMAS%20AUTORIZADAS\T018%20TELINET%20SA%20DE%20CV-Zentius%20Digital%20Transformation.pdf" TargetMode="External"/><Relationship Id="rId70" Type="http://schemas.openxmlformats.org/officeDocument/2006/relationships/hyperlink" Target="FIRMAS%20AUTORIZADAS\T021%20TRANSPLACE%20DE%20MEXICO-Uber%20Freight.pdf" TargetMode="External"/><Relationship Id="rId75" Type="http://schemas.openxmlformats.org/officeDocument/2006/relationships/hyperlink" Target="FIRMAS%20AUTORIZADAS\T022%20TRANSPORTES%20LOPEZ%20E%20HIJOS-Trayecto.pdf" TargetMode="External"/><Relationship Id="rId1" Type="http://schemas.openxmlformats.org/officeDocument/2006/relationships/hyperlink" Target="mailto:tramex.recursoshumanos@gmail.com" TargetMode="External"/><Relationship Id="rId6" Type="http://schemas.openxmlformats.org/officeDocument/2006/relationships/hyperlink" Target="FIRMAS%20AUTORIZADAS\T002%20Trouw%20Nutrition%20M&#233;xico.pdf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.bin"/><Relationship Id="rId3" Type="http://schemas.openxmlformats.org/officeDocument/2006/relationships/hyperlink" Target="mailto:administracion@ukyempaques.com" TargetMode="External"/><Relationship Id="rId7" Type="http://schemas.openxmlformats.org/officeDocument/2006/relationships/hyperlink" Target="FIRMAS%20AUTORIZADAS\U002%20ULINE%20INES_merged.pdf" TargetMode="External"/><Relationship Id="rId2" Type="http://schemas.openxmlformats.org/officeDocument/2006/relationships/hyperlink" Target="mailto:administracion@ukyempaques.com" TargetMode="External"/><Relationship Id="rId1" Type="http://schemas.openxmlformats.org/officeDocument/2006/relationships/hyperlink" Target="mailto:administracion@ukyempaques.com" TargetMode="External"/><Relationship Id="rId6" Type="http://schemas.openxmlformats.org/officeDocument/2006/relationships/hyperlink" Target="mailto:jorgeluis.hernandez@uline.com" TargetMode="External"/><Relationship Id="rId5" Type="http://schemas.openxmlformats.org/officeDocument/2006/relationships/hyperlink" Target="mailto:angie.rojas@uline.com" TargetMode="External"/><Relationship Id="rId4" Type="http://schemas.openxmlformats.org/officeDocument/2006/relationships/hyperlink" Target="FIRMAS%20AUTORIZADAS\U001%20UKY-Embarques%20y%20Subministros%20SA%20y%20CV.pdf" TargetMode="External"/><Relationship Id="rId9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mailto:alancontreras@vargasvaldes.com" TargetMode="External"/><Relationship Id="rId18" Type="http://schemas.openxmlformats.org/officeDocument/2006/relationships/hyperlink" Target="mailto:ingridyareidi.eizondo@viakable.com" TargetMode="External"/><Relationship Id="rId26" Type="http://schemas.openxmlformats.org/officeDocument/2006/relationships/hyperlink" Target="mailto:hugolpadilla@gmail.com" TargetMode="External"/><Relationship Id="rId39" Type="http://schemas.openxmlformats.org/officeDocument/2006/relationships/hyperlink" Target="mailto:sonia.laredo@vice-mx.com" TargetMode="External"/><Relationship Id="rId21" Type="http://schemas.openxmlformats.org/officeDocument/2006/relationships/hyperlink" Target="mailto:emmanuel.echavarria@vidusa.com" TargetMode="External"/><Relationship Id="rId34" Type="http://schemas.openxmlformats.org/officeDocument/2006/relationships/hyperlink" Target="mailto:kevinalberto.muniz@viakable.com" TargetMode="External"/><Relationship Id="rId42" Type="http://schemas.openxmlformats.org/officeDocument/2006/relationships/hyperlink" Target="mailto:sonia.laredo@vice-mx.com" TargetMode="External"/><Relationship Id="rId47" Type="http://schemas.openxmlformats.org/officeDocument/2006/relationships/hyperlink" Target="mailto:richo@vitau.mx" TargetMode="External"/><Relationship Id="rId50" Type="http://schemas.openxmlformats.org/officeDocument/2006/relationships/hyperlink" Target="mailto:cesargarza@vesuvius.com" TargetMode="External"/><Relationship Id="rId55" Type="http://schemas.openxmlformats.org/officeDocument/2006/relationships/hyperlink" Target="FIRMAS%20AUTORIZADAS\V010%20VVICE%20ENTERPRISE%20SOLUTIONS.pdf" TargetMode="External"/><Relationship Id="rId63" Type="http://schemas.openxmlformats.org/officeDocument/2006/relationships/hyperlink" Target="mailto:victorvillalonso@hotmail.com" TargetMode="External"/><Relationship Id="rId7" Type="http://schemas.openxmlformats.org/officeDocument/2006/relationships/hyperlink" Target="mailto:ybarbosag@vitro.com" TargetMode="External"/><Relationship Id="rId2" Type="http://schemas.openxmlformats.org/officeDocument/2006/relationships/hyperlink" Target="mailto:edith@emblem-capital.com" TargetMode="External"/><Relationship Id="rId16" Type="http://schemas.openxmlformats.org/officeDocument/2006/relationships/hyperlink" Target="mailto:kevinalberto.muniz@viakable.com" TargetMode="External"/><Relationship Id="rId29" Type="http://schemas.openxmlformats.org/officeDocument/2006/relationships/hyperlink" Target="mailto:rmendoza@blpgroup.com.mx" TargetMode="External"/><Relationship Id="rId1" Type="http://schemas.openxmlformats.org/officeDocument/2006/relationships/hyperlink" Target="mailto:edith@emblem-capital.com" TargetMode="External"/><Relationship Id="rId6" Type="http://schemas.openxmlformats.org/officeDocument/2006/relationships/hyperlink" Target="mailto:eriestrav@vitro.com" TargetMode="External"/><Relationship Id="rId11" Type="http://schemas.openxmlformats.org/officeDocument/2006/relationships/hyperlink" Target="mailto:alancontreras@vargasvaldes.com" TargetMode="External"/><Relationship Id="rId24" Type="http://schemas.openxmlformats.org/officeDocument/2006/relationships/hyperlink" Target="mailto:villegasdeleon@prodigy.net.mx" TargetMode="External"/><Relationship Id="rId32" Type="http://schemas.openxmlformats.org/officeDocument/2006/relationships/hyperlink" Target="FIRMAS%20AUTORIZADAS\V008%20VINNARE.pdf" TargetMode="External"/><Relationship Id="rId37" Type="http://schemas.openxmlformats.org/officeDocument/2006/relationships/hyperlink" Target="mailto:alejandra.aguilar@vice-mx.com" TargetMode="External"/><Relationship Id="rId40" Type="http://schemas.openxmlformats.org/officeDocument/2006/relationships/hyperlink" Target="mailto:alejandra.aguilar@vice-mx.com" TargetMode="External"/><Relationship Id="rId45" Type="http://schemas.openxmlformats.org/officeDocument/2006/relationships/hyperlink" Target="mailto:rrhh@bnextlevel.com.mx" TargetMode="External"/><Relationship Id="rId53" Type="http://schemas.openxmlformats.org/officeDocument/2006/relationships/hyperlink" Target="mailto:ana.arambula@vesuvius.com" TargetMode="External"/><Relationship Id="rId58" Type="http://schemas.openxmlformats.org/officeDocument/2006/relationships/hyperlink" Target="FIRMAS%20AUTORIZADAS\V013%20Vitau%20Medical.pdf" TargetMode="External"/><Relationship Id="rId66" Type="http://schemas.openxmlformats.org/officeDocument/2006/relationships/printerSettings" Target="../printerSettings/printerSettings24.bin"/><Relationship Id="rId5" Type="http://schemas.openxmlformats.org/officeDocument/2006/relationships/hyperlink" Target="mailto:ppolancoh@vito.com" TargetMode="External"/><Relationship Id="rId15" Type="http://schemas.openxmlformats.org/officeDocument/2006/relationships/hyperlink" Target="FIRMAS%20AUTORIZADAS\V004%20VARGAS%20VALDES%20&amp;%20ASOCIADOS.pdf" TargetMode="External"/><Relationship Id="rId23" Type="http://schemas.openxmlformats.org/officeDocument/2006/relationships/hyperlink" Target="mailto:hugolpadilla@gmail.com" TargetMode="External"/><Relationship Id="rId28" Type="http://schemas.openxmlformats.org/officeDocument/2006/relationships/hyperlink" Target="mailto:rh@blpgroup.com.mx" TargetMode="External"/><Relationship Id="rId36" Type="http://schemas.openxmlformats.org/officeDocument/2006/relationships/hyperlink" Target="mailto:anafernanda.munoz@viakable.com" TargetMode="External"/><Relationship Id="rId49" Type="http://schemas.openxmlformats.org/officeDocument/2006/relationships/hyperlink" Target="mailto:adolfo@vitau.mx" TargetMode="External"/><Relationship Id="rId57" Type="http://schemas.openxmlformats.org/officeDocument/2006/relationships/hyperlink" Target="FIRMAS%20AUTORIZADAS\V012%20VIKINGOS%20EVENTOS.pdf" TargetMode="External"/><Relationship Id="rId61" Type="http://schemas.openxmlformats.org/officeDocument/2006/relationships/hyperlink" Target="mailto:emmanuel.echavarria@vidusa.com" TargetMode="External"/><Relationship Id="rId10" Type="http://schemas.openxmlformats.org/officeDocument/2006/relationships/hyperlink" Target="FIRMAS%20AUTORIZADAS\V003%20Valladares%20Contadores.pdf" TargetMode="External"/><Relationship Id="rId19" Type="http://schemas.openxmlformats.org/officeDocument/2006/relationships/hyperlink" Target="mailto:anafernanda.munoz@viakable.com" TargetMode="External"/><Relationship Id="rId31" Type="http://schemas.openxmlformats.org/officeDocument/2006/relationships/hyperlink" Target="mailto:contabilidadsenior@blpgroup.com.-mx" TargetMode="External"/><Relationship Id="rId44" Type="http://schemas.openxmlformats.org/officeDocument/2006/relationships/hyperlink" Target="mailto:administracion@bnextlevel.com.mx" TargetMode="External"/><Relationship Id="rId52" Type="http://schemas.openxmlformats.org/officeDocument/2006/relationships/hyperlink" Target="mailto:Jose.J.Mendez@vesuvius.com" TargetMode="External"/><Relationship Id="rId60" Type="http://schemas.openxmlformats.org/officeDocument/2006/relationships/hyperlink" Target="mailto:eliu@qvalladarescontadores.com" TargetMode="External"/><Relationship Id="rId65" Type="http://schemas.openxmlformats.org/officeDocument/2006/relationships/hyperlink" Target="FIRMAS%20AUTORIZADAS\V015%20VILLALON%20ALONSO%20CONTADORES%20PUBLICOS%20SC.pdf" TargetMode="External"/><Relationship Id="rId4" Type="http://schemas.openxmlformats.org/officeDocument/2006/relationships/hyperlink" Target="mailto:ppolancoh@vito.com" TargetMode="External"/><Relationship Id="rId9" Type="http://schemas.openxmlformats.org/officeDocument/2006/relationships/hyperlink" Target="mailto:eliu@qvalladarescontadores.com" TargetMode="External"/><Relationship Id="rId14" Type="http://schemas.openxmlformats.org/officeDocument/2006/relationships/hyperlink" Target="mailto:keniahernandez@vargasvaldes.com" TargetMode="External"/><Relationship Id="rId22" Type="http://schemas.openxmlformats.org/officeDocument/2006/relationships/hyperlink" Target="FIRMAS%20AUTORIZADAS\V006%20VIDUSA.pdf" TargetMode="External"/><Relationship Id="rId27" Type="http://schemas.openxmlformats.org/officeDocument/2006/relationships/hyperlink" Target="FIRMAS%20AUTORIZADAS\V007%20VILLEGAS%20DE%20LEON%20Y%20ASOCIADOS%20SC.pdf" TargetMode="External"/><Relationship Id="rId30" Type="http://schemas.openxmlformats.org/officeDocument/2006/relationships/hyperlink" Target="mailto:rh@blpgroup.com.mx" TargetMode="External"/><Relationship Id="rId35" Type="http://schemas.openxmlformats.org/officeDocument/2006/relationships/hyperlink" Target="mailto:ingridyareidi.eizondo@viakable.com" TargetMode="External"/><Relationship Id="rId43" Type="http://schemas.openxmlformats.org/officeDocument/2006/relationships/hyperlink" Target="mailto:direccion@bnextlevel.com.mx" TargetMode="External"/><Relationship Id="rId48" Type="http://schemas.openxmlformats.org/officeDocument/2006/relationships/hyperlink" Target="mailto:jack@vitau.mx" TargetMode="External"/><Relationship Id="rId56" Type="http://schemas.openxmlformats.org/officeDocument/2006/relationships/hyperlink" Target="FIRMAS%20AUTORIZADAS\V011%20VICE.pdf" TargetMode="External"/><Relationship Id="rId64" Type="http://schemas.openxmlformats.org/officeDocument/2006/relationships/hyperlink" Target="mailto:Cp.villalonmtz@hotmail.com" TargetMode="External"/><Relationship Id="rId8" Type="http://schemas.openxmlformats.org/officeDocument/2006/relationships/hyperlink" Target="FIRMAS%20AUTORIZADAS\V002%20VITRO.pdf" TargetMode="External"/><Relationship Id="rId51" Type="http://schemas.openxmlformats.org/officeDocument/2006/relationships/hyperlink" Target="mailto:cesargarza@vesuvius.com" TargetMode="External"/><Relationship Id="rId3" Type="http://schemas.openxmlformats.org/officeDocument/2006/relationships/hyperlink" Target="FIRMAS%20AUTORIZADAS\V001%20VIRTUS%20METRO-emblem%20capital.pdf" TargetMode="External"/><Relationship Id="rId12" Type="http://schemas.openxmlformats.org/officeDocument/2006/relationships/hyperlink" Target="mailto:oscarhidalgo@vargasvaldes.com" TargetMode="External"/><Relationship Id="rId17" Type="http://schemas.openxmlformats.org/officeDocument/2006/relationships/hyperlink" Target="mailto:kevinalberto.muniz@viakable.com" TargetMode="External"/><Relationship Id="rId25" Type="http://schemas.openxmlformats.org/officeDocument/2006/relationships/hyperlink" Target="mailto:amzymevc@hotmail.com" TargetMode="External"/><Relationship Id="rId33" Type="http://schemas.openxmlformats.org/officeDocument/2006/relationships/hyperlink" Target="mailto:kevinalberto.muniz@viakable.com" TargetMode="External"/><Relationship Id="rId38" Type="http://schemas.openxmlformats.org/officeDocument/2006/relationships/hyperlink" Target="mailto:alejandra.aguilar@vice-mx.com" TargetMode="External"/><Relationship Id="rId46" Type="http://schemas.openxmlformats.org/officeDocument/2006/relationships/hyperlink" Target="mailto:jack@vitau.mx" TargetMode="External"/><Relationship Id="rId59" Type="http://schemas.openxmlformats.org/officeDocument/2006/relationships/hyperlink" Target="FIRMAS%20AUTORIZADAS\V014%20Vesuvius%20M&#233;xico%20S.A.%20de%20C.V..pdf" TargetMode="External"/><Relationship Id="rId67" Type="http://schemas.openxmlformats.org/officeDocument/2006/relationships/table" Target="../tables/table24.xml"/><Relationship Id="rId20" Type="http://schemas.openxmlformats.org/officeDocument/2006/relationships/hyperlink" Target="FIRMAS%20AUTORIZADAS\V005%20VIAKABLE.pdf" TargetMode="External"/><Relationship Id="rId41" Type="http://schemas.openxmlformats.org/officeDocument/2006/relationships/hyperlink" Target="mailto:alejandra.aguilar@vice-mx.com" TargetMode="External"/><Relationship Id="rId54" Type="http://schemas.openxmlformats.org/officeDocument/2006/relationships/hyperlink" Target="FIRMAS%20AUTORIZADAS\V009%20VIAKABLE.pdf" TargetMode="External"/><Relationship Id="rId62" Type="http://schemas.openxmlformats.org/officeDocument/2006/relationships/hyperlink" Target="mailto:victorvillalonso@hotmail.com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reneeandrade519@gmail.com" TargetMode="External"/><Relationship Id="rId13" Type="http://schemas.openxmlformats.org/officeDocument/2006/relationships/printerSettings" Target="../printerSettings/printerSettings25.bin"/><Relationship Id="rId3" Type="http://schemas.openxmlformats.org/officeDocument/2006/relationships/hyperlink" Target="mailto:luisitoprr6@gmail.com" TargetMode="External"/><Relationship Id="rId7" Type="http://schemas.openxmlformats.org/officeDocument/2006/relationships/hyperlink" Target="mailto:naomi_galicia_camacho@whirpool.com" TargetMode="External"/><Relationship Id="rId12" Type="http://schemas.openxmlformats.org/officeDocument/2006/relationships/hyperlink" Target="FIRMAS%20AUTORIZADAS\W004%20WM%20LATINOAMERICA%20S%20DE%20RL%20DE%20CV.pdf" TargetMode="External"/><Relationship Id="rId2" Type="http://schemas.openxmlformats.org/officeDocument/2006/relationships/hyperlink" Target="FIRMAS%20AUTORIZADAS\W001%20WESTERN%20TRUCK%20SERVICE.pdf" TargetMode="External"/><Relationship Id="rId1" Type="http://schemas.openxmlformats.org/officeDocument/2006/relationships/hyperlink" Target="mailto:reneeandrade519@gmail.com" TargetMode="External"/><Relationship Id="rId6" Type="http://schemas.openxmlformats.org/officeDocument/2006/relationships/hyperlink" Target="mailto:azul_r_hernandez@whirpool.com" TargetMode="External"/><Relationship Id="rId11" Type="http://schemas.openxmlformats.org/officeDocument/2006/relationships/hyperlink" Target="mailto:luisitoprr6@gmail.com" TargetMode="External"/><Relationship Id="rId5" Type="http://schemas.openxmlformats.org/officeDocument/2006/relationships/hyperlink" Target="FIRMAS%20AUTORIZADAS\W002%20Wood-Mizer%20M&#233;xico.pdf" TargetMode="External"/><Relationship Id="rId10" Type="http://schemas.openxmlformats.org/officeDocument/2006/relationships/hyperlink" Target="mailto:luisitoprr6@gmail.com" TargetMode="External"/><Relationship Id="rId4" Type="http://schemas.openxmlformats.org/officeDocument/2006/relationships/hyperlink" Target="mailto:luisitoprr6@gmail.com" TargetMode="External"/><Relationship Id="rId9" Type="http://schemas.openxmlformats.org/officeDocument/2006/relationships/hyperlink" Target="FIRMAS%20AUTORIZADAS\W003%20WHIRLPOOL%20MEXICO%20S%20RL%20DE%20CV.pdf" TargetMode="External"/><Relationship Id="rId14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mailto:rodrigo.mendez@linkon.com.mx" TargetMode="External"/><Relationship Id="rId13" Type="http://schemas.openxmlformats.org/officeDocument/2006/relationships/hyperlink" Target="mailto:Jessica.cervantes@xcf.com.mx" TargetMode="External"/><Relationship Id="rId18" Type="http://schemas.openxmlformats.org/officeDocument/2006/relationships/hyperlink" Target="mailto:Berenice.rodriguez@xylem.com" TargetMode="External"/><Relationship Id="rId3" Type="http://schemas.openxmlformats.org/officeDocument/2006/relationships/hyperlink" Target="FIRMAS%20AUTORIZADAS\X001%20Xignux.pdf" TargetMode="External"/><Relationship Id="rId21" Type="http://schemas.openxmlformats.org/officeDocument/2006/relationships/table" Target="../tables/table26.xml"/><Relationship Id="rId7" Type="http://schemas.openxmlformats.org/officeDocument/2006/relationships/hyperlink" Target="mailto:karla.ochoa@linkon.com.mx" TargetMode="External"/><Relationship Id="rId12" Type="http://schemas.openxmlformats.org/officeDocument/2006/relationships/hyperlink" Target="mailto:Jorge.veloz@xcf.com.mx" TargetMode="External"/><Relationship Id="rId17" Type="http://schemas.openxmlformats.org/officeDocument/2006/relationships/hyperlink" Target="mailto:Miguel.macias@xylem.com" TargetMode="External"/><Relationship Id="rId2" Type="http://schemas.openxmlformats.org/officeDocument/2006/relationships/hyperlink" Target="mailto:virginia.leija@xignux.com" TargetMode="External"/><Relationship Id="rId16" Type="http://schemas.openxmlformats.org/officeDocument/2006/relationships/hyperlink" Target="mailto:Miguel.macias@xylem.com" TargetMode="External"/><Relationship Id="rId20" Type="http://schemas.openxmlformats.org/officeDocument/2006/relationships/printerSettings" Target="../printerSettings/printerSettings26.bin"/><Relationship Id="rId1" Type="http://schemas.openxmlformats.org/officeDocument/2006/relationships/hyperlink" Target="mailto:regina.cantuv@xignux.com" TargetMode="External"/><Relationship Id="rId6" Type="http://schemas.openxmlformats.org/officeDocument/2006/relationships/hyperlink" Target="mailto:karla.ochoa@linkon.com.mx" TargetMode="External"/><Relationship Id="rId11" Type="http://schemas.openxmlformats.org/officeDocument/2006/relationships/hyperlink" Target="mailto:Jorge.veloz@xcf.com.mx" TargetMode="External"/><Relationship Id="rId5" Type="http://schemas.openxmlformats.org/officeDocument/2006/relationships/hyperlink" Target="FIRMAS%20AUTORIZADAS\X003%20XPERTAL.pdf" TargetMode="External"/><Relationship Id="rId15" Type="http://schemas.openxmlformats.org/officeDocument/2006/relationships/hyperlink" Target="FIRMAS%20AUTORIZADAS\X004%20XCF%20S.A.%20DE%20C.V..pdf" TargetMode="External"/><Relationship Id="rId10" Type="http://schemas.openxmlformats.org/officeDocument/2006/relationships/hyperlink" Target="FIRMAS%20AUTORIZADAS\X002%20XK%20Media.pdf" TargetMode="External"/><Relationship Id="rId19" Type="http://schemas.openxmlformats.org/officeDocument/2006/relationships/hyperlink" Target="FIRMAS%20AUTORIZADAS\X005%20XYLEM%20MONTERREY.pdf" TargetMode="External"/><Relationship Id="rId4" Type="http://schemas.openxmlformats.org/officeDocument/2006/relationships/hyperlink" Target="mailto:astridadonai.ortiz@xpertal.com" TargetMode="External"/><Relationship Id="rId9" Type="http://schemas.openxmlformats.org/officeDocument/2006/relationships/hyperlink" Target="mailto:barbaqra.chacon@linkon.com.mx" TargetMode="External"/><Relationship Id="rId14" Type="http://schemas.openxmlformats.org/officeDocument/2006/relationships/hyperlink" Target="mailto:Ramon.garza@xcf.com.mx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FIRMAS%20AUTORIZADAS\Y02%20YTURRIA%20AGENTE%20DE%20SEGUROS.pdf" TargetMode="External"/><Relationship Id="rId3" Type="http://schemas.openxmlformats.org/officeDocument/2006/relationships/hyperlink" Target="mailto:recursoshumanos@yelos.com.mx" TargetMode="External"/><Relationship Id="rId7" Type="http://schemas.openxmlformats.org/officeDocument/2006/relationships/hyperlink" Target="mailto:adalberto.cavazos@yas.com.mx" TargetMode="External"/><Relationship Id="rId2" Type="http://schemas.openxmlformats.org/officeDocument/2006/relationships/hyperlink" Target="mailto:enrique.cura@yelos.com.mx" TargetMode="External"/><Relationship Id="rId1" Type="http://schemas.openxmlformats.org/officeDocument/2006/relationships/hyperlink" Target="mailto:enrique.cura@yelos.com.mx" TargetMode="External"/><Relationship Id="rId6" Type="http://schemas.openxmlformats.org/officeDocument/2006/relationships/hyperlink" Target="mailto:adalberto.cavazos@yas.com.mx" TargetMode="External"/><Relationship Id="rId5" Type="http://schemas.openxmlformats.org/officeDocument/2006/relationships/hyperlink" Target="FIRMAS%20AUTORIZADAS\Y001%20YOR%20TE%20SA%20DE%20CV.pdf" TargetMode="External"/><Relationship Id="rId10" Type="http://schemas.openxmlformats.org/officeDocument/2006/relationships/table" Target="../tables/table27.xml"/><Relationship Id="rId4" Type="http://schemas.openxmlformats.org/officeDocument/2006/relationships/hyperlink" Target="mailto:zcoronado@yelos.com.mx" TargetMode="External"/><Relationship Id="rId9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abelmares@zemgo.mx" TargetMode="External"/><Relationship Id="rId7" Type="http://schemas.openxmlformats.org/officeDocument/2006/relationships/table" Target="../tables/table28.xml"/><Relationship Id="rId2" Type="http://schemas.openxmlformats.org/officeDocument/2006/relationships/hyperlink" Target="mailto:alopez@hope.com.mx" TargetMode="External"/><Relationship Id="rId1" Type="http://schemas.openxmlformats.org/officeDocument/2006/relationships/hyperlink" Target="mailto:alopez@hope.com.mx" TargetMode="External"/><Relationship Id="rId6" Type="http://schemas.openxmlformats.org/officeDocument/2006/relationships/printerSettings" Target="../printerSettings/printerSettings28.bin"/><Relationship Id="rId5" Type="http://schemas.openxmlformats.org/officeDocument/2006/relationships/hyperlink" Target="FIRMAS%20AUTORIZADAS\Z001%20Zemgo%20HOPE.pdf" TargetMode="External"/><Relationship Id="rId4" Type="http://schemas.openxmlformats.org/officeDocument/2006/relationships/hyperlink" Target="mailto:contacto@hope.com.mx" TargetMode="Externa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29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8"/>
  <sheetViews>
    <sheetView tabSelected="1" zoomScale="70" zoomScaleNormal="70" workbookViewId="0">
      <selection activeCell="L3" sqref="L3"/>
    </sheetView>
  </sheetViews>
  <sheetFormatPr baseColWidth="10" defaultRowHeight="15" x14ac:dyDescent="0.25"/>
  <cols>
    <col min="2" max="2" width="23.140625" bestFit="1" customWidth="1"/>
    <col min="3" max="3" width="42.85546875" customWidth="1"/>
    <col min="4" max="4" width="56.5703125" customWidth="1"/>
    <col min="5" max="5" width="42.28515625" style="54" customWidth="1"/>
    <col min="6" max="6" width="26.28515625" style="54" customWidth="1"/>
    <col min="7" max="7" width="14.85546875" customWidth="1"/>
    <col min="8" max="8" width="23.85546875" customWidth="1"/>
    <col min="9" max="9" width="15.140625" customWidth="1"/>
    <col min="10" max="10" width="25.42578125" customWidth="1"/>
    <col min="11" max="11" width="10.7109375" bestFit="1" customWidth="1"/>
    <col min="12" max="12" width="28.7109375" bestFit="1" customWidth="1"/>
    <col min="13" max="13" width="18.140625" bestFit="1" customWidth="1"/>
    <col min="14" max="14" width="32" bestFit="1" customWidth="1"/>
  </cols>
  <sheetData>
    <row r="1" spans="1:10" ht="76.5" x14ac:dyDescent="0.3">
      <c r="A1" s="52" t="s">
        <v>2815</v>
      </c>
      <c r="B1" s="52" t="s">
        <v>2814</v>
      </c>
      <c r="C1" s="46" t="s">
        <v>59</v>
      </c>
      <c r="D1" s="46" t="s">
        <v>7</v>
      </c>
      <c r="E1" s="46" t="s">
        <v>2</v>
      </c>
      <c r="F1" s="46" t="s">
        <v>4858</v>
      </c>
      <c r="G1" s="46" t="s">
        <v>4859</v>
      </c>
      <c r="H1" s="46" t="s">
        <v>4860</v>
      </c>
      <c r="I1" s="46" t="s">
        <v>4861</v>
      </c>
      <c r="J1" s="46" t="s">
        <v>4862</v>
      </c>
    </row>
    <row r="2" spans="1:10" ht="18.75" x14ac:dyDescent="0.3">
      <c r="A2" s="52" t="s">
        <v>2787</v>
      </c>
      <c r="B2" s="52">
        <f>Tabla4[[#Totals],[ARCHIVO]]</f>
        <v>30</v>
      </c>
      <c r="C2" s="1" t="s">
        <v>1361</v>
      </c>
      <c r="D2" s="1" t="s">
        <v>1364</v>
      </c>
      <c r="E2" s="1" t="s">
        <v>4863</v>
      </c>
      <c r="F2" s="1" t="s">
        <v>4873</v>
      </c>
      <c r="G2" s="1" t="s">
        <v>4869</v>
      </c>
      <c r="H2" s="1" t="s">
        <v>4953</v>
      </c>
      <c r="I2" s="1" t="s">
        <v>4896</v>
      </c>
      <c r="J2" s="1" t="s">
        <v>4911</v>
      </c>
    </row>
    <row r="3" spans="1:10" ht="18.75" x14ac:dyDescent="0.3">
      <c r="A3" s="52" t="s">
        <v>2788</v>
      </c>
      <c r="B3" s="52">
        <f>Tabla5[[#Totals],[ARCHIVO]]</f>
        <v>15</v>
      </c>
      <c r="C3" s="1" t="s">
        <v>1370</v>
      </c>
      <c r="D3" s="1" t="s">
        <v>1372</v>
      </c>
      <c r="E3" s="1" t="s">
        <v>4864</v>
      </c>
      <c r="F3" s="1" t="s">
        <v>4875</v>
      </c>
      <c r="G3" s="1" t="s">
        <v>4869</v>
      </c>
      <c r="H3" s="1" t="s">
        <v>4956</v>
      </c>
      <c r="I3" s="1" t="s">
        <v>4896</v>
      </c>
      <c r="J3" s="1" t="s">
        <v>4924</v>
      </c>
    </row>
    <row r="4" spans="1:10" ht="18.75" x14ac:dyDescent="0.3">
      <c r="A4" s="52" t="s">
        <v>2789</v>
      </c>
      <c r="B4" s="52">
        <f>Tabla6[[#Totals],[ARCHIVO]]</f>
        <v>58</v>
      </c>
      <c r="C4" s="1" t="s">
        <v>2771</v>
      </c>
      <c r="D4" s="1" t="s">
        <v>1382</v>
      </c>
      <c r="E4" s="1" t="s">
        <v>4863</v>
      </c>
      <c r="F4" s="1" t="s">
        <v>4873</v>
      </c>
      <c r="G4" s="1" t="s">
        <v>4869</v>
      </c>
      <c r="H4" s="1" t="s">
        <v>5009</v>
      </c>
      <c r="I4" s="1" t="s">
        <v>4896</v>
      </c>
      <c r="J4" s="1" t="s">
        <v>4911</v>
      </c>
    </row>
    <row r="5" spans="1:10" ht="18.75" x14ac:dyDescent="0.3">
      <c r="A5" s="52" t="s">
        <v>2790</v>
      </c>
      <c r="B5" s="52">
        <f>Tabla7[[#Totals],[ARCHIVO]]</f>
        <v>25</v>
      </c>
      <c r="C5" s="1" t="s">
        <v>2770</v>
      </c>
      <c r="D5" s="1" t="s">
        <v>1769</v>
      </c>
      <c r="E5" s="1" t="s">
        <v>4865</v>
      </c>
      <c r="F5" s="1" t="s">
        <v>4875</v>
      </c>
      <c r="G5" s="1" t="s">
        <v>4869</v>
      </c>
      <c r="H5" s="1" t="s">
        <v>4920</v>
      </c>
      <c r="I5" s="1" t="s">
        <v>4896</v>
      </c>
      <c r="J5" s="1" t="s">
        <v>4946</v>
      </c>
    </row>
    <row r="6" spans="1:10" ht="18.75" x14ac:dyDescent="0.3">
      <c r="A6" s="52" t="s">
        <v>2791</v>
      </c>
      <c r="B6" s="52">
        <f>Tabla8[[#Totals],[ARCHIVO]]</f>
        <v>18</v>
      </c>
      <c r="C6" s="1" t="s">
        <v>1871</v>
      </c>
      <c r="D6" s="1" t="s">
        <v>1873</v>
      </c>
      <c r="E6" s="1" t="s">
        <v>4863</v>
      </c>
      <c r="F6" s="1" t="s">
        <v>4873</v>
      </c>
      <c r="G6" s="1" t="s">
        <v>4869</v>
      </c>
      <c r="H6" s="1" t="s">
        <v>4920</v>
      </c>
      <c r="I6" s="1" t="s">
        <v>4896</v>
      </c>
      <c r="J6" s="1" t="s">
        <v>4911</v>
      </c>
    </row>
    <row r="7" spans="1:10" ht="18.75" x14ac:dyDescent="0.3">
      <c r="A7" s="52" t="s">
        <v>2792</v>
      </c>
      <c r="B7" s="52">
        <f>Tabla9[[#Totals],[ARCHIVO]]</f>
        <v>20</v>
      </c>
      <c r="C7" s="1" t="s">
        <v>1879</v>
      </c>
      <c r="D7" s="1" t="s">
        <v>1881</v>
      </c>
      <c r="E7" s="1" t="s">
        <v>4865</v>
      </c>
      <c r="F7" s="1" t="s">
        <v>4875</v>
      </c>
      <c r="G7" s="1" t="s">
        <v>4869</v>
      </c>
      <c r="H7" s="1" t="s">
        <v>4949</v>
      </c>
      <c r="I7" s="1" t="s">
        <v>4896</v>
      </c>
      <c r="J7" s="1" t="s">
        <v>4911</v>
      </c>
    </row>
    <row r="8" spans="1:10" ht="18.75" x14ac:dyDescent="0.3">
      <c r="A8" s="52" t="s">
        <v>2793</v>
      </c>
      <c r="B8" s="52">
        <f>Tabla10[[#Totals],[ARCHIVO]]</f>
        <v>25</v>
      </c>
      <c r="C8" s="1" t="s">
        <v>1896</v>
      </c>
      <c r="D8" s="1" t="s">
        <v>1897</v>
      </c>
      <c r="E8" s="1" t="s">
        <v>4865</v>
      </c>
      <c r="F8" s="1" t="s">
        <v>4874</v>
      </c>
      <c r="G8" s="1" t="s">
        <v>4869</v>
      </c>
      <c r="H8" s="1" t="s">
        <v>5002</v>
      </c>
      <c r="I8" s="1" t="s">
        <v>4896</v>
      </c>
      <c r="J8" s="1" t="s">
        <v>4928</v>
      </c>
    </row>
    <row r="9" spans="1:10" ht="18.75" x14ac:dyDescent="0.3">
      <c r="A9" s="52" t="s">
        <v>2794</v>
      </c>
      <c r="B9" s="52">
        <f>Tabla11[[#Totals],[ARCHIVO]]</f>
        <v>14</v>
      </c>
      <c r="C9" s="1" t="s">
        <v>1940</v>
      </c>
      <c r="D9" s="1" t="s">
        <v>1942</v>
      </c>
      <c r="E9" s="1" t="s">
        <v>4863</v>
      </c>
      <c r="F9" s="1" t="s">
        <v>4872</v>
      </c>
      <c r="G9" s="1" t="s">
        <v>4869</v>
      </c>
      <c r="H9" s="1" t="s">
        <v>4926</v>
      </c>
      <c r="I9" s="1" t="s">
        <v>4896</v>
      </c>
      <c r="J9" s="1" t="s">
        <v>4911</v>
      </c>
    </row>
    <row r="10" spans="1:10" ht="18.75" x14ac:dyDescent="0.3">
      <c r="A10" s="52" t="s">
        <v>2795</v>
      </c>
      <c r="B10" s="52">
        <f>Tabla12[[#Totals],[ARCHIVO]]</f>
        <v>19</v>
      </c>
      <c r="C10" s="1" t="s">
        <v>2078</v>
      </c>
      <c r="D10" s="1" t="s">
        <v>2079</v>
      </c>
      <c r="E10" s="1" t="s">
        <v>4863</v>
      </c>
      <c r="F10" s="1" t="s">
        <v>4872</v>
      </c>
      <c r="G10" s="1" t="s">
        <v>4869</v>
      </c>
      <c r="H10" s="1" t="s">
        <v>4947</v>
      </c>
      <c r="I10" s="1" t="s">
        <v>4896</v>
      </c>
      <c r="J10" s="1" t="s">
        <v>4928</v>
      </c>
    </row>
    <row r="11" spans="1:10" ht="18.75" x14ac:dyDescent="0.3">
      <c r="A11" s="52" t="s">
        <v>2796</v>
      </c>
      <c r="B11" s="52">
        <f>Tabla14[[#Totals],[ARCHIVO]]</f>
        <v>9</v>
      </c>
      <c r="C11" s="1" t="s">
        <v>2089</v>
      </c>
      <c r="D11" s="1" t="s">
        <v>2090</v>
      </c>
      <c r="E11" s="1" t="s">
        <v>4863</v>
      </c>
      <c r="F11" s="1" t="s">
        <v>4873</v>
      </c>
      <c r="G11" s="1" t="s">
        <v>4869</v>
      </c>
      <c r="H11" s="1" t="s">
        <v>4945</v>
      </c>
      <c r="I11" s="1" t="s">
        <v>4896</v>
      </c>
      <c r="J11" s="1" t="s">
        <v>4911</v>
      </c>
    </row>
    <row r="12" spans="1:10" ht="18.75" x14ac:dyDescent="0.3">
      <c r="A12" s="52" t="s">
        <v>2797</v>
      </c>
      <c r="B12" s="52">
        <f>Tabla15[[#Totals],[ARCHIVO]]</f>
        <v>5</v>
      </c>
      <c r="C12" s="1" t="s">
        <v>2206</v>
      </c>
      <c r="D12" s="1" t="s">
        <v>2207</v>
      </c>
      <c r="E12" s="1" t="s">
        <v>4864</v>
      </c>
      <c r="F12" s="1" t="s">
        <v>4874</v>
      </c>
      <c r="G12" s="1" t="s">
        <v>4869</v>
      </c>
      <c r="H12" s="1" t="s">
        <v>4919</v>
      </c>
      <c r="I12" s="1" t="s">
        <v>4896</v>
      </c>
      <c r="J12" s="1" t="s">
        <v>4913</v>
      </c>
    </row>
    <row r="13" spans="1:10" ht="18.75" x14ac:dyDescent="0.3">
      <c r="A13" s="52" t="s">
        <v>2798</v>
      </c>
      <c r="B13" s="52">
        <f>Tabla16[[#Totals],[ARCHIVO]]</f>
        <v>11</v>
      </c>
      <c r="C13" s="18" t="s">
        <v>3283</v>
      </c>
      <c r="D13" s="1" t="s">
        <v>2214</v>
      </c>
      <c r="E13" s="1" t="s">
        <v>4865</v>
      </c>
      <c r="F13" s="1" t="s">
        <v>4873</v>
      </c>
      <c r="G13" s="1" t="s">
        <v>4869</v>
      </c>
      <c r="H13" s="1" t="s">
        <v>4926</v>
      </c>
      <c r="I13" s="1" t="s">
        <v>4896</v>
      </c>
      <c r="J13" s="1" t="s">
        <v>4911</v>
      </c>
    </row>
    <row r="14" spans="1:10" ht="18.75" x14ac:dyDescent="0.3">
      <c r="A14" s="52" t="s">
        <v>2799</v>
      </c>
      <c r="B14" s="52">
        <f>Tabla17[[#Totals],[ARCHIVO]]</f>
        <v>30</v>
      </c>
      <c r="C14" s="1" t="s">
        <v>2220</v>
      </c>
      <c r="D14" s="1" t="s">
        <v>2221</v>
      </c>
      <c r="E14" s="1" t="s">
        <v>4864</v>
      </c>
      <c r="F14" s="1" t="s">
        <v>4875</v>
      </c>
      <c r="G14" s="1" t="s">
        <v>4869</v>
      </c>
      <c r="H14" s="1" t="s">
        <v>4925</v>
      </c>
      <c r="I14" s="1" t="s">
        <v>4896</v>
      </c>
      <c r="J14" s="1" t="s">
        <v>4911</v>
      </c>
    </row>
    <row r="15" spans="1:10" ht="18.75" x14ac:dyDescent="0.3">
      <c r="A15" s="52" t="s">
        <v>2800</v>
      </c>
      <c r="B15" s="52">
        <f>Tabla18[[#Totals],[ARCHIVO]]</f>
        <v>10</v>
      </c>
      <c r="C15" s="1" t="s">
        <v>2227</v>
      </c>
      <c r="D15" s="1" t="s">
        <v>2228</v>
      </c>
      <c r="E15" s="1" t="s">
        <v>4863</v>
      </c>
      <c r="F15" s="1" t="s">
        <v>4874</v>
      </c>
      <c r="G15" s="1" t="s">
        <v>4871</v>
      </c>
      <c r="H15" s="1" t="s">
        <v>5023</v>
      </c>
      <c r="I15" s="1" t="s">
        <v>4896</v>
      </c>
      <c r="J15" s="1" t="s">
        <v>4946</v>
      </c>
    </row>
    <row r="16" spans="1:10" ht="18.75" x14ac:dyDescent="0.3">
      <c r="A16" s="52" t="s">
        <v>2801</v>
      </c>
      <c r="B16" s="52">
        <f>Tabla19[[#Totals],[ARCHIVO]]</f>
        <v>0</v>
      </c>
      <c r="C16" s="1" t="s">
        <v>2329</v>
      </c>
      <c r="D16" s="1" t="s">
        <v>2330</v>
      </c>
      <c r="E16" s="1" t="s">
        <v>4863</v>
      </c>
      <c r="F16" s="1" t="s">
        <v>4875</v>
      </c>
      <c r="G16" s="1" t="s">
        <v>4869</v>
      </c>
      <c r="H16" s="1" t="s">
        <v>4949</v>
      </c>
      <c r="I16" s="1" t="s">
        <v>4896</v>
      </c>
      <c r="J16" s="1" t="s">
        <v>4911</v>
      </c>
    </row>
    <row r="17" spans="1:10" ht="18.75" x14ac:dyDescent="0.3">
      <c r="A17" s="52" t="s">
        <v>2802</v>
      </c>
      <c r="B17" s="52">
        <f>Tabla20[[#Totals],[ARCHIVO]]</f>
        <v>5</v>
      </c>
      <c r="C17" s="1" t="s">
        <v>2769</v>
      </c>
      <c r="D17" s="1" t="s">
        <v>2332</v>
      </c>
      <c r="E17" s="1" t="s">
        <v>4863</v>
      </c>
      <c r="F17" s="1" t="s">
        <v>4874</v>
      </c>
      <c r="G17" s="1" t="s">
        <v>4869</v>
      </c>
      <c r="H17" s="1" t="s">
        <v>4933</v>
      </c>
      <c r="I17" s="1" t="s">
        <v>4896</v>
      </c>
      <c r="J17" s="1" t="s">
        <v>4911</v>
      </c>
    </row>
    <row r="18" spans="1:10" ht="18.75" x14ac:dyDescent="0.3">
      <c r="A18" s="52" t="s">
        <v>2803</v>
      </c>
      <c r="B18" s="52">
        <f>Tabla21[[#Totals],[ARCHIVO]]</f>
        <v>28</v>
      </c>
      <c r="C18" s="1" t="s">
        <v>2342</v>
      </c>
      <c r="D18" s="1" t="s">
        <v>2343</v>
      </c>
      <c r="E18" s="1" t="s">
        <v>4864</v>
      </c>
      <c r="F18" s="1" t="s">
        <v>4875</v>
      </c>
      <c r="G18" s="1" t="s">
        <v>4869</v>
      </c>
      <c r="H18" s="1" t="s">
        <v>4921</v>
      </c>
      <c r="I18" s="1" t="s">
        <v>4896</v>
      </c>
      <c r="J18" s="1" t="s">
        <v>4943</v>
      </c>
    </row>
    <row r="19" spans="1:10" ht="18.75" x14ac:dyDescent="0.3">
      <c r="A19" s="52" t="s">
        <v>2804</v>
      </c>
      <c r="B19" s="52">
        <f>Tabla22[[#Totals],[ARCHIVO]]</f>
        <v>6</v>
      </c>
      <c r="C19" s="1" t="s">
        <v>2349</v>
      </c>
      <c r="D19" s="1" t="s">
        <v>2350</v>
      </c>
      <c r="E19" s="1" t="s">
        <v>4863</v>
      </c>
      <c r="F19" s="1" t="s">
        <v>4872</v>
      </c>
      <c r="G19" s="1" t="s">
        <v>4869</v>
      </c>
      <c r="H19" s="1" t="s">
        <v>4926</v>
      </c>
      <c r="I19" s="1" t="s">
        <v>4896</v>
      </c>
      <c r="J19" s="1" t="s">
        <v>4914</v>
      </c>
    </row>
    <row r="20" spans="1:10" ht="18.75" x14ac:dyDescent="0.3">
      <c r="A20" s="52" t="s">
        <v>2805</v>
      </c>
      <c r="B20" s="52">
        <f>Tabla23[[#Totals],[ARCHIVO]]</f>
        <v>16</v>
      </c>
      <c r="C20" s="1" t="s">
        <v>2924</v>
      </c>
      <c r="D20" s="1" t="s">
        <v>2925</v>
      </c>
      <c r="E20" s="1" t="s">
        <v>4863</v>
      </c>
      <c r="F20" s="1" t="s">
        <v>4873</v>
      </c>
      <c r="G20" s="1" t="s">
        <v>4869</v>
      </c>
      <c r="H20" s="1" t="s">
        <v>4926</v>
      </c>
      <c r="I20" s="1" t="s">
        <v>4896</v>
      </c>
      <c r="J20" s="1" t="s">
        <v>4911</v>
      </c>
    </row>
    <row r="21" spans="1:10" ht="18.75" x14ac:dyDescent="0.3">
      <c r="A21" s="52" t="s">
        <v>2806</v>
      </c>
      <c r="B21" s="52">
        <f>Tabla24[[#Totals],[ARCHIVO]]</f>
        <v>45</v>
      </c>
      <c r="C21" s="1" t="s">
        <v>2932</v>
      </c>
      <c r="D21" s="1" t="s">
        <v>2933</v>
      </c>
      <c r="E21" s="1" t="s">
        <v>4864</v>
      </c>
      <c r="F21" s="1" t="s">
        <v>4875</v>
      </c>
      <c r="G21" s="1" t="s">
        <v>4869</v>
      </c>
      <c r="H21" s="1" t="s">
        <v>4920</v>
      </c>
      <c r="I21" s="1" t="s">
        <v>4896</v>
      </c>
      <c r="J21" s="1" t="s">
        <v>4911</v>
      </c>
    </row>
    <row r="22" spans="1:10" ht="18.75" x14ac:dyDescent="0.3">
      <c r="A22" s="52" t="s">
        <v>2807</v>
      </c>
      <c r="B22" s="52">
        <f>Tabla25[[#Totals],[ARCHIVO]]</f>
        <v>22</v>
      </c>
      <c r="C22" s="1" t="s">
        <v>3904</v>
      </c>
      <c r="D22" s="1" t="s">
        <v>3407</v>
      </c>
      <c r="E22" s="1" t="s">
        <v>4864</v>
      </c>
      <c r="F22" s="1" t="s">
        <v>4875</v>
      </c>
      <c r="G22" s="1" t="s">
        <v>4869</v>
      </c>
      <c r="H22" s="1" t="s">
        <v>5014</v>
      </c>
      <c r="I22" s="1" t="s">
        <v>4896</v>
      </c>
      <c r="J22" s="1" t="s">
        <v>4924</v>
      </c>
    </row>
    <row r="23" spans="1:10" ht="18.75" x14ac:dyDescent="0.3">
      <c r="A23" s="52" t="s">
        <v>2808</v>
      </c>
      <c r="B23" s="52">
        <f>Tabla26[[#Totals],[ARCHIVO]]</f>
        <v>2</v>
      </c>
      <c r="C23" s="1" t="s">
        <v>3410</v>
      </c>
      <c r="D23" s="1" t="s">
        <v>3411</v>
      </c>
      <c r="E23" s="1" t="s">
        <v>4863</v>
      </c>
      <c r="F23" s="1" t="s">
        <v>4874</v>
      </c>
      <c r="G23" s="1" t="s">
        <v>4869</v>
      </c>
      <c r="H23" s="1" t="s">
        <v>4925</v>
      </c>
      <c r="I23" s="1" t="s">
        <v>4896</v>
      </c>
      <c r="J23" s="1" t="s">
        <v>4911</v>
      </c>
    </row>
    <row r="24" spans="1:10" ht="18.75" x14ac:dyDescent="0.3">
      <c r="A24" s="52" t="s">
        <v>2809</v>
      </c>
      <c r="B24" s="52">
        <f>Tabla27[[#Totals],[ARCHIVO]]</f>
        <v>15</v>
      </c>
      <c r="C24" s="1" t="s">
        <v>3419</v>
      </c>
      <c r="D24" s="1" t="s">
        <v>3420</v>
      </c>
      <c r="E24" s="1" t="s">
        <v>4863</v>
      </c>
      <c r="F24" s="1" t="s">
        <v>4873</v>
      </c>
      <c r="G24" s="1" t="s">
        <v>4869</v>
      </c>
      <c r="H24" s="1" t="s">
        <v>4926</v>
      </c>
      <c r="I24" s="1" t="s">
        <v>4896</v>
      </c>
      <c r="J24" s="1" t="s">
        <v>4911</v>
      </c>
    </row>
    <row r="25" spans="1:10" ht="18.75" x14ac:dyDescent="0.3">
      <c r="A25" s="52" t="s">
        <v>2813</v>
      </c>
      <c r="B25" s="52">
        <f>Tabla28[[#Totals],[ARCHIVO]]</f>
        <v>4</v>
      </c>
      <c r="C25" s="1" t="s">
        <v>4064</v>
      </c>
      <c r="D25" s="1" t="s">
        <v>4065</v>
      </c>
      <c r="E25" s="1" t="s">
        <v>4863</v>
      </c>
      <c r="F25" s="1" t="s">
        <v>4873</v>
      </c>
      <c r="G25" s="1" t="s">
        <v>4869</v>
      </c>
      <c r="H25" s="1" t="s">
        <v>2297</v>
      </c>
      <c r="I25" s="1" t="s">
        <v>4896</v>
      </c>
      <c r="J25" s="1" t="s">
        <v>4911</v>
      </c>
    </row>
    <row r="26" spans="1:10" ht="18.75" x14ac:dyDescent="0.3">
      <c r="A26" s="52" t="s">
        <v>2810</v>
      </c>
      <c r="B26" s="52">
        <f>Tabla29[[#Totals],[ARCHIVO]]</f>
        <v>5</v>
      </c>
      <c r="C26" s="1" t="s">
        <v>4074</v>
      </c>
      <c r="D26" s="1" t="s">
        <v>4075</v>
      </c>
      <c r="E26" s="1" t="s">
        <v>4865</v>
      </c>
      <c r="F26" s="1" t="s">
        <v>4875</v>
      </c>
      <c r="G26" s="1" t="s">
        <v>4869</v>
      </c>
      <c r="H26" s="1" t="s">
        <v>4927</v>
      </c>
      <c r="I26" s="1" t="s">
        <v>4896</v>
      </c>
      <c r="J26" s="1" t="s">
        <v>4911</v>
      </c>
    </row>
    <row r="27" spans="1:10" ht="18.75" x14ac:dyDescent="0.3">
      <c r="A27" s="52" t="s">
        <v>2811</v>
      </c>
      <c r="B27" s="52">
        <f>Tabla30[[#Totals],[ARCHIVO]]</f>
        <v>2</v>
      </c>
      <c r="C27" s="1" t="s">
        <v>4295</v>
      </c>
      <c r="D27" s="1" t="s">
        <v>4296</v>
      </c>
      <c r="E27" s="1" t="s">
        <v>4865</v>
      </c>
      <c r="F27" s="1" t="s">
        <v>4874</v>
      </c>
      <c r="G27" s="1" t="s">
        <v>4869</v>
      </c>
      <c r="H27" s="1" t="s">
        <v>5006</v>
      </c>
      <c r="I27" s="1" t="s">
        <v>4896</v>
      </c>
      <c r="J27" s="1" t="s">
        <v>4911</v>
      </c>
    </row>
    <row r="28" spans="1:10" ht="18.75" x14ac:dyDescent="0.3">
      <c r="A28" s="52" t="s">
        <v>2812</v>
      </c>
      <c r="B28" s="52">
        <f>Tabla31[[#Totals],[ARCHIVO]]</f>
        <v>1</v>
      </c>
      <c r="C28" s="1" t="s">
        <v>4495</v>
      </c>
      <c r="D28" s="1" t="s">
        <v>4497</v>
      </c>
      <c r="E28" s="1" t="s">
        <v>4865</v>
      </c>
      <c r="F28" s="1" t="s">
        <v>4875</v>
      </c>
      <c r="G28" s="1" t="s">
        <v>4869</v>
      </c>
      <c r="H28" s="1" t="s">
        <v>5179</v>
      </c>
      <c r="I28" s="1" t="s">
        <v>4896</v>
      </c>
      <c r="J28" s="1" t="s">
        <v>4928</v>
      </c>
    </row>
    <row r="29" spans="1:10" ht="15.75" thickBot="1" x14ac:dyDescent="0.3">
      <c r="A29" s="51"/>
      <c r="B29" s="51"/>
      <c r="C29" s="1" t="s">
        <v>4502</v>
      </c>
      <c r="D29" s="1" t="s">
        <v>3078</v>
      </c>
      <c r="E29" s="1" t="s">
        <v>4863</v>
      </c>
      <c r="F29" s="1" t="s">
        <v>4874</v>
      </c>
      <c r="G29" s="1" t="s">
        <v>4869</v>
      </c>
      <c r="H29" s="1" t="s">
        <v>4921</v>
      </c>
      <c r="I29" s="1" t="s">
        <v>4896</v>
      </c>
      <c r="J29" s="1" t="s">
        <v>5008</v>
      </c>
    </row>
    <row r="30" spans="1:10" ht="63.75" thickBot="1" x14ac:dyDescent="0.5">
      <c r="A30" s="53" t="s">
        <v>2816</v>
      </c>
      <c r="B30" s="55">
        <f>SUM(B2:B28)</f>
        <v>440</v>
      </c>
      <c r="C30" s="38" t="s">
        <v>4549</v>
      </c>
      <c r="D30" s="1" t="s">
        <v>4550</v>
      </c>
      <c r="E30" s="1" t="s">
        <v>4865</v>
      </c>
      <c r="F30" s="1" t="s">
        <v>4874</v>
      </c>
      <c r="G30" s="1" t="s">
        <v>4869</v>
      </c>
      <c r="H30" s="1" t="s">
        <v>4917</v>
      </c>
      <c r="I30" s="1" t="s">
        <v>4896</v>
      </c>
      <c r="J30" s="1" t="s">
        <v>4911</v>
      </c>
    </row>
    <row r="31" spans="1:10" x14ac:dyDescent="0.25">
      <c r="A31" s="51"/>
      <c r="C31" s="31" t="s">
        <v>1392</v>
      </c>
      <c r="D31" s="1" t="s">
        <v>1394</v>
      </c>
      <c r="E31" s="1" t="s">
        <v>4863</v>
      </c>
      <c r="F31" s="1" t="s">
        <v>4875</v>
      </c>
      <c r="G31" s="1" t="s">
        <v>4868</v>
      </c>
      <c r="H31" s="1" t="s">
        <v>4916</v>
      </c>
      <c r="I31" s="1" t="s">
        <v>4896</v>
      </c>
      <c r="J31" s="44" t="s">
        <v>4946</v>
      </c>
    </row>
    <row r="32" spans="1:10" x14ac:dyDescent="0.25">
      <c r="A32" s="51"/>
      <c r="B32" s="51"/>
      <c r="C32" s="1" t="s">
        <v>2012</v>
      </c>
      <c r="D32" s="1" t="s">
        <v>2014</v>
      </c>
      <c r="E32" s="1" t="s">
        <v>4864</v>
      </c>
      <c r="F32" s="1" t="s">
        <v>4874</v>
      </c>
      <c r="G32" s="1" t="s">
        <v>4869</v>
      </c>
      <c r="H32" s="1" t="s">
        <v>4917</v>
      </c>
      <c r="I32" s="1" t="s">
        <v>4896</v>
      </c>
      <c r="J32" s="1" t="s">
        <v>4911</v>
      </c>
    </row>
    <row r="33" spans="1:10" x14ac:dyDescent="0.25">
      <c r="A33" s="51"/>
      <c r="B33" s="51"/>
      <c r="C33" s="1" t="s">
        <v>2121</v>
      </c>
      <c r="D33" s="1" t="s">
        <v>2122</v>
      </c>
      <c r="E33" s="1" t="s">
        <v>4863</v>
      </c>
      <c r="F33" s="1" t="s">
        <v>4874</v>
      </c>
      <c r="G33" s="1" t="s">
        <v>4869</v>
      </c>
      <c r="H33" s="1" t="s">
        <v>4918</v>
      </c>
      <c r="I33" s="1" t="s">
        <v>4896</v>
      </c>
      <c r="J33" s="1" t="s">
        <v>4911</v>
      </c>
    </row>
    <row r="34" spans="1:10" x14ac:dyDescent="0.25">
      <c r="A34" s="51"/>
      <c r="B34" s="51"/>
      <c r="C34" s="1" t="s">
        <v>2127</v>
      </c>
      <c r="D34" s="1" t="s">
        <v>2129</v>
      </c>
      <c r="E34" s="1" t="s">
        <v>4865</v>
      </c>
      <c r="F34" s="1" t="s">
        <v>4875</v>
      </c>
      <c r="G34" s="1" t="s">
        <v>4869</v>
      </c>
      <c r="H34" s="1" t="s">
        <v>4918</v>
      </c>
      <c r="I34" s="1" t="s">
        <v>4896</v>
      </c>
      <c r="J34" s="1" t="s">
        <v>4914</v>
      </c>
    </row>
    <row r="35" spans="1:10" x14ac:dyDescent="0.25">
      <c r="A35" s="51"/>
      <c r="B35" s="51"/>
      <c r="C35" s="1" t="s">
        <v>2237</v>
      </c>
      <c r="D35" s="1" t="s">
        <v>2238</v>
      </c>
      <c r="E35" s="1" t="s">
        <v>4864</v>
      </c>
      <c r="F35" s="1" t="s">
        <v>4873</v>
      </c>
      <c r="G35" s="1" t="s">
        <v>4869</v>
      </c>
      <c r="H35" s="1" t="s">
        <v>4918</v>
      </c>
      <c r="I35" s="1" t="s">
        <v>4896</v>
      </c>
      <c r="J35" s="1" t="s">
        <v>4914</v>
      </c>
    </row>
    <row r="36" spans="1:10" x14ac:dyDescent="0.25">
      <c r="A36" s="51"/>
      <c r="B36" s="51"/>
      <c r="C36" s="1" t="s">
        <v>2241</v>
      </c>
      <c r="D36" s="1" t="s">
        <v>2242</v>
      </c>
      <c r="E36" s="1" t="s">
        <v>4864</v>
      </c>
      <c r="F36" s="1" t="s">
        <v>4874</v>
      </c>
      <c r="G36" s="1" t="s">
        <v>4869</v>
      </c>
      <c r="H36" s="1" t="s">
        <v>4919</v>
      </c>
      <c r="I36" s="1" t="s">
        <v>4896</v>
      </c>
      <c r="J36" s="1" t="s">
        <v>4911</v>
      </c>
    </row>
    <row r="37" spans="1:10" x14ac:dyDescent="0.25">
      <c r="A37" s="51"/>
      <c r="B37" s="51"/>
      <c r="C37" s="1" t="s">
        <v>2939</v>
      </c>
      <c r="D37" s="1" t="s">
        <v>2940</v>
      </c>
      <c r="E37" s="1" t="s">
        <v>4864</v>
      </c>
      <c r="F37" s="1" t="s">
        <v>4874</v>
      </c>
      <c r="G37" s="1" t="s">
        <v>4869</v>
      </c>
      <c r="H37" s="13" t="s">
        <v>4920</v>
      </c>
      <c r="I37" s="1" t="s">
        <v>4896</v>
      </c>
      <c r="J37" s="1" t="s">
        <v>4911</v>
      </c>
    </row>
    <row r="38" spans="1:10" x14ac:dyDescent="0.25">
      <c r="A38" s="51"/>
      <c r="B38" s="51"/>
      <c r="C38" s="1" t="s">
        <v>3428</v>
      </c>
      <c r="D38" s="1" t="s">
        <v>3429</v>
      </c>
      <c r="E38" s="1" t="s">
        <v>4863</v>
      </c>
      <c r="F38" s="1" t="s">
        <v>4872</v>
      </c>
      <c r="G38" s="1" t="s">
        <v>4869</v>
      </c>
      <c r="H38" s="1" t="s">
        <v>4933</v>
      </c>
      <c r="I38" s="1" t="s">
        <v>4896</v>
      </c>
      <c r="J38" s="1" t="s">
        <v>4911</v>
      </c>
    </row>
    <row r="39" spans="1:10" x14ac:dyDescent="0.25">
      <c r="C39" s="1" t="s">
        <v>3433</v>
      </c>
      <c r="D39" s="1" t="s">
        <v>3434</v>
      </c>
      <c r="E39" s="1" t="s">
        <v>4863</v>
      </c>
      <c r="F39" s="1" t="s">
        <v>4872</v>
      </c>
      <c r="G39" s="1" t="s">
        <v>4869</v>
      </c>
      <c r="H39" s="1" t="s">
        <v>5009</v>
      </c>
      <c r="I39" s="1" t="s">
        <v>4896</v>
      </c>
      <c r="J39" s="1" t="s">
        <v>4911</v>
      </c>
    </row>
    <row r="40" spans="1:10" x14ac:dyDescent="0.25">
      <c r="C40" s="1" t="s">
        <v>3440</v>
      </c>
      <c r="D40" s="1" t="s">
        <v>3441</v>
      </c>
      <c r="E40" s="1" t="s">
        <v>4863</v>
      </c>
      <c r="F40" s="1" t="s">
        <v>4872</v>
      </c>
      <c r="G40" s="1" t="s">
        <v>4869</v>
      </c>
      <c r="H40" s="1" t="s">
        <v>5009</v>
      </c>
      <c r="I40" s="1" t="s">
        <v>4896</v>
      </c>
      <c r="J40" s="1" t="s">
        <v>4911</v>
      </c>
    </row>
    <row r="41" spans="1:10" x14ac:dyDescent="0.25">
      <c r="C41" s="1" t="s">
        <v>3722</v>
      </c>
      <c r="D41" s="1" t="s">
        <v>3723</v>
      </c>
      <c r="E41" s="1" t="s">
        <v>4865</v>
      </c>
      <c r="F41" s="1" t="s">
        <v>4874</v>
      </c>
      <c r="G41" s="1" t="s">
        <v>4869</v>
      </c>
      <c r="H41" s="1" t="s">
        <v>4920</v>
      </c>
      <c r="I41" s="1" t="s">
        <v>4896</v>
      </c>
      <c r="J41" s="1" t="s">
        <v>4911</v>
      </c>
    </row>
    <row r="42" spans="1:10" x14ac:dyDescent="0.25">
      <c r="C42" s="1" t="s">
        <v>3741</v>
      </c>
      <c r="D42" s="1" t="s">
        <v>3742</v>
      </c>
      <c r="E42" s="1" t="s">
        <v>4863</v>
      </c>
      <c r="F42" s="1" t="s">
        <v>4873</v>
      </c>
      <c r="G42" s="1" t="s">
        <v>4869</v>
      </c>
      <c r="H42" s="1" t="s">
        <v>4926</v>
      </c>
      <c r="I42" s="1" t="s">
        <v>4896</v>
      </c>
      <c r="J42" s="44" t="s">
        <v>4946</v>
      </c>
    </row>
    <row r="43" spans="1:10" x14ac:dyDescent="0.25">
      <c r="C43" s="1" t="s">
        <v>4477</v>
      </c>
      <c r="D43" s="1" t="s">
        <v>4479</v>
      </c>
      <c r="E43" s="1" t="s">
        <v>4865</v>
      </c>
      <c r="F43" s="1" t="s">
        <v>4875</v>
      </c>
      <c r="G43" s="1" t="s">
        <v>4869</v>
      </c>
      <c r="H43" s="1" t="s">
        <v>4916</v>
      </c>
      <c r="I43" s="1" t="s">
        <v>4896</v>
      </c>
      <c r="J43" s="1" t="s">
        <v>4928</v>
      </c>
    </row>
    <row r="44" spans="1:10" x14ac:dyDescent="0.25">
      <c r="C44" s="1" t="s">
        <v>4680</v>
      </c>
      <c r="D44" s="1" t="s">
        <v>4674</v>
      </c>
      <c r="E44" s="1" t="s">
        <v>4864</v>
      </c>
      <c r="F44" s="1" t="s">
        <v>4875</v>
      </c>
      <c r="G44" s="1" t="s">
        <v>4869</v>
      </c>
      <c r="H44" s="1" t="s">
        <v>4921</v>
      </c>
      <c r="I44" s="1" t="s">
        <v>4896</v>
      </c>
      <c r="J44" s="1" t="s">
        <v>4911</v>
      </c>
    </row>
    <row r="45" spans="1:10" x14ac:dyDescent="0.25">
      <c r="C45" s="1" t="s">
        <v>4850</v>
      </c>
      <c r="D45" s="1" t="s">
        <v>4852</v>
      </c>
      <c r="E45" s="1" t="s">
        <v>4867</v>
      </c>
      <c r="F45" s="1" t="s">
        <v>4875</v>
      </c>
      <c r="G45" s="1" t="s">
        <v>4869</v>
      </c>
      <c r="H45" s="1" t="s">
        <v>4918</v>
      </c>
      <c r="I45" s="1" t="s">
        <v>4896</v>
      </c>
      <c r="J45" s="1" t="s">
        <v>4924</v>
      </c>
    </row>
    <row r="46" spans="1:10" x14ac:dyDescent="0.25">
      <c r="C46" s="1" t="s">
        <v>1409</v>
      </c>
      <c r="D46" s="1" t="s">
        <v>1411</v>
      </c>
      <c r="E46" s="1" t="s">
        <v>4867</v>
      </c>
      <c r="F46" s="1" t="s">
        <v>4875</v>
      </c>
      <c r="G46" s="1" t="s">
        <v>4869</v>
      </c>
      <c r="H46" s="1" t="s">
        <v>4945</v>
      </c>
      <c r="I46" s="1" t="s">
        <v>4896</v>
      </c>
      <c r="J46" s="1" t="s">
        <v>4931</v>
      </c>
    </row>
    <row r="47" spans="1:10" x14ac:dyDescent="0.25">
      <c r="C47" s="1" t="s">
        <v>1417</v>
      </c>
      <c r="D47" s="1" t="s">
        <v>1419</v>
      </c>
      <c r="E47" s="1" t="s">
        <v>4863</v>
      </c>
      <c r="F47" s="1" t="s">
        <v>4872</v>
      </c>
      <c r="G47" s="1" t="s">
        <v>4869</v>
      </c>
      <c r="H47" s="1" t="s">
        <v>5009</v>
      </c>
      <c r="I47" s="1" t="s">
        <v>4896</v>
      </c>
      <c r="J47" s="1" t="s">
        <v>4911</v>
      </c>
    </row>
    <row r="48" spans="1:10" x14ac:dyDescent="0.25">
      <c r="C48" s="1" t="s">
        <v>1424</v>
      </c>
      <c r="D48" s="1" t="s">
        <v>1426</v>
      </c>
      <c r="E48" s="1" t="s">
        <v>4865</v>
      </c>
      <c r="F48" s="1" t="s">
        <v>4875</v>
      </c>
      <c r="G48" s="1" t="s">
        <v>4869</v>
      </c>
      <c r="H48" s="1" t="s">
        <v>5010</v>
      </c>
      <c r="I48" s="1" t="s">
        <v>4896</v>
      </c>
      <c r="J48" s="1" t="s">
        <v>4911</v>
      </c>
    </row>
    <row r="49" spans="3:10" x14ac:dyDescent="0.25">
      <c r="C49" s="1" t="s">
        <v>1433</v>
      </c>
      <c r="D49" s="1" t="s">
        <v>1435</v>
      </c>
      <c r="E49" s="1" t="s">
        <v>4863</v>
      </c>
      <c r="F49" s="1" t="s">
        <v>4873</v>
      </c>
      <c r="G49" s="1" t="s">
        <v>4869</v>
      </c>
      <c r="H49" s="1" t="s">
        <v>4920</v>
      </c>
      <c r="I49" s="1" t="s">
        <v>4896</v>
      </c>
      <c r="J49" s="1" t="s">
        <v>4924</v>
      </c>
    </row>
    <row r="50" spans="3:10" x14ac:dyDescent="0.25">
      <c r="C50" s="1" t="s">
        <v>1445</v>
      </c>
      <c r="D50" s="1" t="s">
        <v>1447</v>
      </c>
      <c r="E50" s="1" t="s">
        <v>4865</v>
      </c>
      <c r="F50" s="1" t="s">
        <v>4875</v>
      </c>
      <c r="G50" s="1" t="s">
        <v>4869</v>
      </c>
      <c r="H50" s="1" t="s">
        <v>4920</v>
      </c>
      <c r="I50" s="1" t="s">
        <v>4896</v>
      </c>
      <c r="J50" s="1" t="s">
        <v>4911</v>
      </c>
    </row>
    <row r="51" spans="3:10" x14ac:dyDescent="0.25">
      <c r="C51" s="1" t="s">
        <v>5178</v>
      </c>
      <c r="D51" s="1" t="s">
        <v>1777</v>
      </c>
      <c r="E51" s="1" t="s">
        <v>4863</v>
      </c>
      <c r="F51" s="1" t="s">
        <v>4873</v>
      </c>
      <c r="G51" s="1" t="s">
        <v>4869</v>
      </c>
      <c r="H51" s="1" t="s">
        <v>4923</v>
      </c>
      <c r="I51" s="1" t="s">
        <v>4896</v>
      </c>
      <c r="J51" s="1" t="s">
        <v>4924</v>
      </c>
    </row>
    <row r="52" spans="3:10" x14ac:dyDescent="0.25">
      <c r="C52" s="1" t="s">
        <v>1896</v>
      </c>
      <c r="D52" s="1" t="s">
        <v>1897</v>
      </c>
      <c r="E52" s="1" t="s">
        <v>4865</v>
      </c>
      <c r="F52" s="1" t="s">
        <v>4874</v>
      </c>
      <c r="G52" s="1" t="s">
        <v>4869</v>
      </c>
      <c r="H52" s="1" t="s">
        <v>5002</v>
      </c>
      <c r="I52" s="1" t="s">
        <v>4896</v>
      </c>
      <c r="J52" s="1" t="s">
        <v>4928</v>
      </c>
    </row>
    <row r="53" spans="3:10" x14ac:dyDescent="0.25">
      <c r="C53" s="1" t="s">
        <v>1826</v>
      </c>
      <c r="D53" s="1" t="s">
        <v>1828</v>
      </c>
      <c r="E53" s="1" t="s">
        <v>4865</v>
      </c>
      <c r="F53" s="1" t="s">
        <v>4875</v>
      </c>
      <c r="G53" s="1" t="s">
        <v>4869</v>
      </c>
      <c r="H53" s="1" t="s">
        <v>4922</v>
      </c>
      <c r="I53" s="1" t="s">
        <v>4896</v>
      </c>
      <c r="J53" s="1" t="s">
        <v>4911</v>
      </c>
    </row>
    <row r="54" spans="3:10" x14ac:dyDescent="0.25">
      <c r="C54" s="1" t="s">
        <v>1838</v>
      </c>
      <c r="D54" s="1" t="s">
        <v>1840</v>
      </c>
      <c r="E54" s="1" t="s">
        <v>4865</v>
      </c>
      <c r="F54" s="1" t="s">
        <v>4873</v>
      </c>
      <c r="G54" s="1" t="s">
        <v>4869</v>
      </c>
      <c r="H54" s="1" t="s">
        <v>4918</v>
      </c>
      <c r="I54" s="1" t="s">
        <v>4896</v>
      </c>
      <c r="J54" s="1" t="s">
        <v>4911</v>
      </c>
    </row>
    <row r="55" spans="3:10" x14ac:dyDescent="0.25">
      <c r="C55" s="1" t="s">
        <v>1847</v>
      </c>
      <c r="D55" s="1" t="s">
        <v>1849</v>
      </c>
      <c r="E55" s="1" t="s">
        <v>4864</v>
      </c>
      <c r="F55" s="1" t="s">
        <v>4875</v>
      </c>
      <c r="G55" s="1" t="s">
        <v>4869</v>
      </c>
      <c r="H55" s="1" t="s">
        <v>4923</v>
      </c>
      <c r="I55" s="1" t="s">
        <v>4896</v>
      </c>
      <c r="J55" s="1" t="s">
        <v>4924</v>
      </c>
    </row>
    <row r="56" spans="3:10" x14ac:dyDescent="0.25">
      <c r="C56" s="1" t="s">
        <v>2100</v>
      </c>
      <c r="D56" s="1" t="s">
        <v>2101</v>
      </c>
      <c r="E56" s="1" t="s">
        <v>4863</v>
      </c>
      <c r="F56" s="1" t="s">
        <v>4873</v>
      </c>
      <c r="G56" s="1" t="s">
        <v>4868</v>
      </c>
      <c r="H56" s="1" t="s">
        <v>4925</v>
      </c>
      <c r="I56" s="1" t="s">
        <v>4896</v>
      </c>
      <c r="J56" s="1" t="s">
        <v>4913</v>
      </c>
    </row>
    <row r="57" spans="3:10" x14ac:dyDescent="0.25">
      <c r="C57" s="1" t="s">
        <v>2136</v>
      </c>
      <c r="D57" s="1" t="s">
        <v>2138</v>
      </c>
      <c r="E57" s="1" t="s">
        <v>4863</v>
      </c>
      <c r="F57" s="1" t="s">
        <v>4875</v>
      </c>
      <c r="G57" s="1" t="s">
        <v>4869</v>
      </c>
      <c r="H57" s="1" t="s">
        <v>4921</v>
      </c>
      <c r="I57" s="1" t="s">
        <v>4896</v>
      </c>
      <c r="J57" s="1" t="s">
        <v>4911</v>
      </c>
    </row>
    <row r="58" spans="3:10" x14ac:dyDescent="0.25">
      <c r="C58" s="1" t="s">
        <v>2142</v>
      </c>
      <c r="D58" s="1" t="s">
        <v>2143</v>
      </c>
      <c r="E58" s="1" t="s">
        <v>4863</v>
      </c>
      <c r="F58" s="1" t="s">
        <v>4875</v>
      </c>
      <c r="G58" s="1" t="s">
        <v>4869</v>
      </c>
      <c r="H58" s="1" t="s">
        <v>4917</v>
      </c>
      <c r="I58" s="1" t="s">
        <v>4896</v>
      </c>
      <c r="J58" s="1" t="s">
        <v>4911</v>
      </c>
    </row>
    <row r="59" spans="3:10" x14ac:dyDescent="0.25">
      <c r="C59" s="1" t="s">
        <v>2146</v>
      </c>
      <c r="D59" s="1" t="s">
        <v>2147</v>
      </c>
      <c r="E59" s="1" t="s">
        <v>4863</v>
      </c>
      <c r="F59" s="1" t="s">
        <v>4873</v>
      </c>
      <c r="G59" s="1" t="s">
        <v>4869</v>
      </c>
      <c r="H59" s="1" t="s">
        <v>4920</v>
      </c>
      <c r="I59" s="1" t="s">
        <v>4896</v>
      </c>
      <c r="J59" s="1" t="s">
        <v>4914</v>
      </c>
    </row>
    <row r="60" spans="3:10" x14ac:dyDescent="0.25">
      <c r="C60" s="1" t="s">
        <v>2157</v>
      </c>
      <c r="D60" s="1" t="s">
        <v>2158</v>
      </c>
      <c r="E60" s="1" t="s">
        <v>4863</v>
      </c>
      <c r="F60" s="1" t="s">
        <v>4872</v>
      </c>
      <c r="G60" s="1" t="s">
        <v>4869</v>
      </c>
      <c r="H60" s="1" t="s">
        <v>5009</v>
      </c>
      <c r="I60" s="1" t="s">
        <v>4896</v>
      </c>
      <c r="J60" s="1" t="s">
        <v>4911</v>
      </c>
    </row>
    <row r="61" spans="3:10" x14ac:dyDescent="0.25">
      <c r="C61" s="1" t="s">
        <v>2161</v>
      </c>
      <c r="D61" s="1" t="s">
        <v>2163</v>
      </c>
      <c r="E61" s="1" t="s">
        <v>4865</v>
      </c>
      <c r="F61" s="1" t="s">
        <v>4874</v>
      </c>
      <c r="G61" s="1" t="s">
        <v>4869</v>
      </c>
      <c r="H61" s="1" t="s">
        <v>4923</v>
      </c>
      <c r="I61" s="1" t="s">
        <v>4896</v>
      </c>
      <c r="J61" s="1" t="s">
        <v>4924</v>
      </c>
    </row>
    <row r="62" spans="3:10" x14ac:dyDescent="0.25">
      <c r="C62" s="1" t="s">
        <v>2170</v>
      </c>
      <c r="D62" s="1" t="s">
        <v>2172</v>
      </c>
      <c r="E62" s="1" t="s">
        <v>4863</v>
      </c>
      <c r="F62" s="1" t="s">
        <v>4873</v>
      </c>
      <c r="G62" s="1" t="s">
        <v>4869</v>
      </c>
      <c r="H62" s="1" t="s">
        <v>4926</v>
      </c>
      <c r="I62" s="1" t="s">
        <v>4896</v>
      </c>
      <c r="J62" s="1" t="s">
        <v>4911</v>
      </c>
    </row>
    <row r="63" spans="3:10" x14ac:dyDescent="0.25">
      <c r="C63" s="31" t="s">
        <v>2772</v>
      </c>
      <c r="D63" s="1" t="s">
        <v>2248</v>
      </c>
      <c r="E63" s="1" t="s">
        <v>4863</v>
      </c>
      <c r="F63" s="1" t="s">
        <v>4875</v>
      </c>
      <c r="G63" s="1" t="s">
        <v>4869</v>
      </c>
      <c r="H63" s="1" t="s">
        <v>4918</v>
      </c>
      <c r="I63" s="1" t="s">
        <v>4896</v>
      </c>
      <c r="J63" s="1" t="s">
        <v>4911</v>
      </c>
    </row>
    <row r="64" spans="3:10" x14ac:dyDescent="0.25">
      <c r="C64" s="1" t="s">
        <v>2258</v>
      </c>
      <c r="D64" s="1" t="s">
        <v>2260</v>
      </c>
      <c r="E64" s="1" t="s">
        <v>4863</v>
      </c>
      <c r="F64" s="1" t="s">
        <v>4874</v>
      </c>
      <c r="G64" s="1" t="s">
        <v>4871</v>
      </c>
      <c r="H64" s="1" t="s">
        <v>5012</v>
      </c>
      <c r="I64" s="1" t="s">
        <v>4896</v>
      </c>
      <c r="J64" s="1" t="s">
        <v>4946</v>
      </c>
    </row>
    <row r="65" spans="3:10" x14ac:dyDescent="0.25">
      <c r="C65" s="1" t="s">
        <v>2263</v>
      </c>
      <c r="D65" s="1" t="s">
        <v>2265</v>
      </c>
      <c r="E65" s="1" t="s">
        <v>4865</v>
      </c>
      <c r="F65" s="1" t="s">
        <v>4875</v>
      </c>
      <c r="G65" s="1" t="s">
        <v>4869</v>
      </c>
      <c r="H65" s="1" t="s">
        <v>4945</v>
      </c>
      <c r="I65" s="1" t="s">
        <v>4896</v>
      </c>
      <c r="J65" s="1" t="s">
        <v>4911</v>
      </c>
    </row>
    <row r="66" spans="3:10" x14ac:dyDescent="0.25">
      <c r="C66" s="1" t="s">
        <v>2269</v>
      </c>
      <c r="D66" s="1" t="s">
        <v>2270</v>
      </c>
      <c r="E66" s="1" t="s">
        <v>4863</v>
      </c>
      <c r="F66" s="1" t="s">
        <v>4873</v>
      </c>
      <c r="G66" s="1" t="s">
        <v>4869</v>
      </c>
      <c r="H66" s="1" t="s">
        <v>4949</v>
      </c>
      <c r="I66" s="1" t="s">
        <v>4896</v>
      </c>
      <c r="J66" s="1" t="s">
        <v>4924</v>
      </c>
    </row>
    <row r="67" spans="3:10" x14ac:dyDescent="0.25">
      <c r="C67" s="1" t="s">
        <v>2277</v>
      </c>
      <c r="D67" s="1" t="s">
        <v>2278</v>
      </c>
      <c r="E67" s="1" t="s">
        <v>4864</v>
      </c>
      <c r="F67" s="1" t="s">
        <v>4873</v>
      </c>
      <c r="G67" s="1" t="s">
        <v>4869</v>
      </c>
      <c r="H67" s="1" t="s">
        <v>4927</v>
      </c>
      <c r="I67" s="1" t="s">
        <v>4896</v>
      </c>
      <c r="J67" s="1" t="s">
        <v>4928</v>
      </c>
    </row>
    <row r="68" spans="3:10" x14ac:dyDescent="0.25">
      <c r="C68" s="1" t="s">
        <v>2354</v>
      </c>
      <c r="D68" s="1" t="s">
        <v>2355</v>
      </c>
      <c r="E68" s="1" t="s">
        <v>4863</v>
      </c>
      <c r="F68" s="1" t="s">
        <v>4874</v>
      </c>
      <c r="G68" s="1" t="s">
        <v>4871</v>
      </c>
      <c r="H68" s="1" t="s">
        <v>4948</v>
      </c>
      <c r="I68" s="1" t="s">
        <v>4896</v>
      </c>
      <c r="J68" s="1" t="s">
        <v>4943</v>
      </c>
    </row>
    <row r="69" spans="3:10" x14ac:dyDescent="0.25">
      <c r="C69" s="1" t="s">
        <v>2361</v>
      </c>
      <c r="D69" s="1" t="s">
        <v>2362</v>
      </c>
      <c r="E69" s="1" t="s">
        <v>4864</v>
      </c>
      <c r="F69" s="1" t="s">
        <v>4875</v>
      </c>
      <c r="G69" s="1" t="s">
        <v>4869</v>
      </c>
      <c r="H69" s="1" t="s">
        <v>4919</v>
      </c>
      <c r="I69" s="1" t="s">
        <v>4884</v>
      </c>
      <c r="J69" s="44" t="s">
        <v>4929</v>
      </c>
    </row>
    <row r="70" spans="3:10" x14ac:dyDescent="0.25">
      <c r="C70" s="1" t="s">
        <v>2366</v>
      </c>
      <c r="D70" s="1" t="s">
        <v>2367</v>
      </c>
      <c r="E70" s="1" t="s">
        <v>4865</v>
      </c>
      <c r="F70" s="1" t="s">
        <v>4875</v>
      </c>
      <c r="G70" s="1" t="s">
        <v>4869</v>
      </c>
      <c r="H70" s="1" t="s">
        <v>4925</v>
      </c>
      <c r="I70" s="1" t="s">
        <v>4896</v>
      </c>
      <c r="J70" s="1" t="s">
        <v>4911</v>
      </c>
    </row>
    <row r="71" spans="3:10" x14ac:dyDescent="0.25">
      <c r="C71" s="1" t="s">
        <v>1445</v>
      </c>
      <c r="D71" s="1" t="s">
        <v>1447</v>
      </c>
      <c r="E71" s="1" t="s">
        <v>4865</v>
      </c>
      <c r="F71" s="1" t="s">
        <v>4875</v>
      </c>
      <c r="G71" s="1" t="s">
        <v>4869</v>
      </c>
      <c r="H71" s="1" t="s">
        <v>4920</v>
      </c>
      <c r="I71" s="1" t="s">
        <v>4896</v>
      </c>
      <c r="J71" s="1" t="s">
        <v>4911</v>
      </c>
    </row>
    <row r="72" spans="3:10" x14ac:dyDescent="0.25">
      <c r="C72" s="1" t="s">
        <v>2381</v>
      </c>
      <c r="D72" s="1" t="s">
        <v>2382</v>
      </c>
      <c r="E72" s="1" t="s">
        <v>4863</v>
      </c>
      <c r="F72" s="1" t="s">
        <v>4872</v>
      </c>
      <c r="G72" s="1" t="s">
        <v>4869</v>
      </c>
      <c r="H72" s="1" t="s">
        <v>4926</v>
      </c>
      <c r="I72" s="1" t="s">
        <v>4896</v>
      </c>
      <c r="J72" s="1" t="s">
        <v>4911</v>
      </c>
    </row>
    <row r="73" spans="3:10" x14ac:dyDescent="0.25">
      <c r="C73" s="1" t="s">
        <v>2385</v>
      </c>
      <c r="D73" s="1" t="s">
        <v>2386</v>
      </c>
      <c r="E73" s="1" t="s">
        <v>4863</v>
      </c>
      <c r="F73" s="1" t="s">
        <v>4873</v>
      </c>
      <c r="G73" s="1" t="s">
        <v>4869</v>
      </c>
      <c r="H73" s="1" t="s">
        <v>4923</v>
      </c>
      <c r="I73" s="1" t="s">
        <v>4896</v>
      </c>
      <c r="J73" s="1" t="s">
        <v>4914</v>
      </c>
    </row>
    <row r="74" spans="3:10" x14ac:dyDescent="0.25">
      <c r="C74" s="1" t="s">
        <v>2482</v>
      </c>
      <c r="D74" s="1" t="s">
        <v>2484</v>
      </c>
      <c r="E74" s="1" t="s">
        <v>4867</v>
      </c>
      <c r="F74" s="1" t="s">
        <v>4875</v>
      </c>
      <c r="G74" s="1" t="s">
        <v>4869</v>
      </c>
      <c r="H74" s="1" t="s">
        <v>5013</v>
      </c>
      <c r="I74" s="1" t="s">
        <v>4896</v>
      </c>
      <c r="J74" s="1" t="s">
        <v>4924</v>
      </c>
    </row>
    <row r="75" spans="3:10" x14ac:dyDescent="0.25">
      <c r="C75" s="1" t="s">
        <v>2773</v>
      </c>
      <c r="D75" s="1" t="s">
        <v>2493</v>
      </c>
      <c r="E75" s="1" t="s">
        <v>4867</v>
      </c>
      <c r="F75" s="1" t="s">
        <v>4875</v>
      </c>
      <c r="G75" s="1" t="s">
        <v>4869</v>
      </c>
      <c r="H75" s="1" t="s">
        <v>5013</v>
      </c>
      <c r="I75" s="1" t="s">
        <v>4896</v>
      </c>
      <c r="J75" s="1" t="s">
        <v>4911</v>
      </c>
    </row>
    <row r="76" spans="3:10" x14ac:dyDescent="0.25">
      <c r="C76" s="1" t="s">
        <v>2944</v>
      </c>
      <c r="D76" s="1" t="s">
        <v>2945</v>
      </c>
      <c r="E76" s="1" t="s">
        <v>4863</v>
      </c>
      <c r="F76" s="1" t="s">
        <v>4872</v>
      </c>
      <c r="G76" s="1" t="s">
        <v>4869</v>
      </c>
      <c r="H76" s="1" t="s">
        <v>4926</v>
      </c>
      <c r="I76" s="1" t="s">
        <v>4896</v>
      </c>
      <c r="J76" s="1" t="s">
        <v>4911</v>
      </c>
    </row>
    <row r="77" spans="3:10" x14ac:dyDescent="0.25">
      <c r="C77" s="31" t="s">
        <v>2952</v>
      </c>
      <c r="D77" s="1" t="s">
        <v>2953</v>
      </c>
      <c r="E77" s="1" t="s">
        <v>4864</v>
      </c>
      <c r="F77" s="1" t="s">
        <v>4875</v>
      </c>
      <c r="G77" s="1" t="s">
        <v>4869</v>
      </c>
      <c r="H77" s="1" t="s">
        <v>4923</v>
      </c>
      <c r="I77" s="1" t="s">
        <v>4896</v>
      </c>
      <c r="J77" s="1" t="s">
        <v>4931</v>
      </c>
    </row>
    <row r="78" spans="3:10" x14ac:dyDescent="0.25">
      <c r="C78" s="31" t="s">
        <v>2772</v>
      </c>
      <c r="D78" s="1" t="s">
        <v>2254</v>
      </c>
      <c r="E78" s="1" t="s">
        <v>4863</v>
      </c>
      <c r="F78" s="1" t="s">
        <v>4875</v>
      </c>
      <c r="G78" s="1" t="s">
        <v>4869</v>
      </c>
      <c r="H78" s="1" t="s">
        <v>4918</v>
      </c>
      <c r="I78" s="1" t="s">
        <v>4896</v>
      </c>
      <c r="J78" s="1" t="s">
        <v>4911</v>
      </c>
    </row>
    <row r="79" spans="3:10" x14ac:dyDescent="0.25">
      <c r="C79" s="1" t="s">
        <v>2971</v>
      </c>
      <c r="D79" s="1" t="s">
        <v>2972</v>
      </c>
      <c r="E79" s="1" t="s">
        <v>4867</v>
      </c>
      <c r="F79" s="1" t="s">
        <v>4875</v>
      </c>
      <c r="G79" s="1" t="s">
        <v>4869</v>
      </c>
      <c r="H79" s="1" t="s">
        <v>4920</v>
      </c>
      <c r="I79" s="1" t="s">
        <v>4896</v>
      </c>
      <c r="J79" s="1" t="s">
        <v>4911</v>
      </c>
    </row>
    <row r="80" spans="3:10" x14ac:dyDescent="0.25">
      <c r="C80" s="1" t="s">
        <v>2978</v>
      </c>
      <c r="D80" s="1" t="s">
        <v>2979</v>
      </c>
      <c r="E80" s="1" t="s">
        <v>4864</v>
      </c>
      <c r="F80" s="1" t="s">
        <v>4874</v>
      </c>
      <c r="G80" s="1" t="s">
        <v>4869</v>
      </c>
      <c r="H80" s="1" t="s">
        <v>4920</v>
      </c>
      <c r="I80" s="1" t="s">
        <v>4896</v>
      </c>
      <c r="J80" s="1" t="s">
        <v>4924</v>
      </c>
    </row>
    <row r="81" spans="3:10" x14ac:dyDescent="0.25">
      <c r="C81" s="1" t="s">
        <v>2986</v>
      </c>
      <c r="D81" s="1" t="s">
        <v>2987</v>
      </c>
      <c r="E81" s="1" t="s">
        <v>4865</v>
      </c>
      <c r="F81" s="1" t="s">
        <v>4875</v>
      </c>
      <c r="G81" s="1" t="s">
        <v>4869</v>
      </c>
      <c r="H81" s="1" t="s">
        <v>4916</v>
      </c>
      <c r="I81" s="1" t="s">
        <v>4896</v>
      </c>
      <c r="J81" s="1" t="s">
        <v>4928</v>
      </c>
    </row>
    <row r="82" spans="3:10" x14ac:dyDescent="0.25">
      <c r="C82" s="1" t="s">
        <v>3450</v>
      </c>
      <c r="D82" s="1" t="s">
        <v>3451</v>
      </c>
      <c r="E82" s="1" t="s">
        <v>4863</v>
      </c>
      <c r="F82" s="1" t="s">
        <v>4872</v>
      </c>
      <c r="G82" s="1" t="s">
        <v>4869</v>
      </c>
      <c r="H82" s="1" t="s">
        <v>5009</v>
      </c>
      <c r="I82" s="1" t="s">
        <v>4896</v>
      </c>
      <c r="J82" s="1" t="s">
        <v>4911</v>
      </c>
    </row>
    <row r="83" spans="3:10" x14ac:dyDescent="0.25">
      <c r="C83" s="1" t="s">
        <v>4061</v>
      </c>
      <c r="D83" s="1" t="s">
        <v>3462</v>
      </c>
      <c r="E83" s="1" t="s">
        <v>4863</v>
      </c>
      <c r="F83" s="1" t="s">
        <v>4873</v>
      </c>
      <c r="G83" s="1" t="s">
        <v>4869</v>
      </c>
      <c r="H83" s="1" t="s">
        <v>4925</v>
      </c>
      <c r="I83" s="1" t="s">
        <v>4896</v>
      </c>
      <c r="J83" s="1" t="s">
        <v>4911</v>
      </c>
    </row>
    <row r="84" spans="3:10" x14ac:dyDescent="0.25">
      <c r="C84" s="1" t="s">
        <v>3466</v>
      </c>
      <c r="D84" s="1" t="s">
        <v>3467</v>
      </c>
      <c r="E84" s="1" t="s">
        <v>4863</v>
      </c>
      <c r="F84" s="1" t="s">
        <v>4872</v>
      </c>
      <c r="G84" s="1" t="s">
        <v>4869</v>
      </c>
      <c r="H84" s="1" t="s">
        <v>4926</v>
      </c>
      <c r="I84" s="1" t="s">
        <v>4896</v>
      </c>
      <c r="J84" s="1" t="s">
        <v>4911</v>
      </c>
    </row>
    <row r="85" spans="3:10" x14ac:dyDescent="0.25">
      <c r="C85" s="1" t="s">
        <v>3471</v>
      </c>
      <c r="D85" s="1" t="s">
        <v>3472</v>
      </c>
      <c r="E85" s="1" t="s">
        <v>4863</v>
      </c>
      <c r="F85" s="1" t="s">
        <v>4874</v>
      </c>
      <c r="G85" s="1" t="s">
        <v>4869</v>
      </c>
      <c r="H85" s="1" t="s">
        <v>5010</v>
      </c>
      <c r="I85" s="1" t="s">
        <v>4896</v>
      </c>
      <c r="J85" s="1" t="s">
        <v>4911</v>
      </c>
    </row>
    <row r="86" spans="3:10" x14ac:dyDescent="0.25">
      <c r="C86" s="1" t="s">
        <v>3655</v>
      </c>
      <c r="D86" s="1" t="s">
        <v>3656</v>
      </c>
      <c r="E86" s="1" t="s">
        <v>4865</v>
      </c>
      <c r="F86" s="1" t="s">
        <v>4875</v>
      </c>
      <c r="G86" s="1" t="s">
        <v>4869</v>
      </c>
      <c r="H86" s="1" t="s">
        <v>4922</v>
      </c>
      <c r="I86" s="1" t="s">
        <v>4896</v>
      </c>
      <c r="J86" s="1" t="s">
        <v>4911</v>
      </c>
    </row>
    <row r="87" spans="3:10" x14ac:dyDescent="0.25">
      <c r="C87" s="1" t="s">
        <v>3662</v>
      </c>
      <c r="D87" s="1" t="s">
        <v>3663</v>
      </c>
      <c r="E87" s="1" t="s">
        <v>4863</v>
      </c>
      <c r="F87" s="1" t="s">
        <v>4873</v>
      </c>
      <c r="G87" s="1" t="s">
        <v>4869</v>
      </c>
      <c r="H87" s="1" t="s">
        <v>5010</v>
      </c>
      <c r="I87" s="1" t="s">
        <v>4896</v>
      </c>
      <c r="J87" s="1" t="s">
        <v>4924</v>
      </c>
    </row>
    <row r="88" spans="3:10" x14ac:dyDescent="0.25">
      <c r="C88" s="1" t="s">
        <v>3980</v>
      </c>
      <c r="D88" s="1" t="s">
        <v>3981</v>
      </c>
      <c r="E88" s="1" t="s">
        <v>4863</v>
      </c>
      <c r="F88" s="1" t="s">
        <v>4874</v>
      </c>
      <c r="G88" s="1" t="s">
        <v>4869</v>
      </c>
      <c r="H88" s="1" t="s">
        <v>5010</v>
      </c>
      <c r="I88" s="1" t="s">
        <v>4896</v>
      </c>
      <c r="J88" s="1" t="s">
        <v>4924</v>
      </c>
    </row>
    <row r="89" spans="3:10" x14ac:dyDescent="0.25">
      <c r="C89" s="1" t="s">
        <v>4277</v>
      </c>
      <c r="D89" s="1" t="s">
        <v>4279</v>
      </c>
      <c r="E89" s="1" t="s">
        <v>4865</v>
      </c>
      <c r="F89" s="1" t="s">
        <v>4874</v>
      </c>
      <c r="G89" s="1" t="s">
        <v>4869</v>
      </c>
      <c r="H89" s="1" t="s">
        <v>4920</v>
      </c>
      <c r="I89" s="1" t="s">
        <v>4896</v>
      </c>
      <c r="J89" s="1" t="s">
        <v>4911</v>
      </c>
    </row>
    <row r="90" spans="3:10" x14ac:dyDescent="0.25">
      <c r="C90" s="1" t="s">
        <v>4286</v>
      </c>
      <c r="D90" s="1" t="s">
        <v>4287</v>
      </c>
      <c r="E90" s="1" t="s">
        <v>4863</v>
      </c>
      <c r="F90" s="1" t="s">
        <v>4873</v>
      </c>
      <c r="G90" s="1" t="s">
        <v>4869</v>
      </c>
      <c r="H90" s="1" t="s">
        <v>4926</v>
      </c>
      <c r="I90" s="1" t="s">
        <v>4896</v>
      </c>
      <c r="J90" s="1" t="s">
        <v>4932</v>
      </c>
    </row>
    <row r="91" spans="3:10" x14ac:dyDescent="0.25">
      <c r="C91" s="1" t="s">
        <v>4292</v>
      </c>
      <c r="D91" s="1" t="s">
        <v>3656</v>
      </c>
      <c r="E91" s="1" t="s">
        <v>4864</v>
      </c>
      <c r="F91" s="1" t="s">
        <v>4875</v>
      </c>
      <c r="G91" s="1" t="s">
        <v>4869</v>
      </c>
      <c r="H91" s="1" t="s">
        <v>4916</v>
      </c>
      <c r="I91" s="1" t="s">
        <v>4896</v>
      </c>
      <c r="J91" s="1" t="s">
        <v>4911</v>
      </c>
    </row>
    <row r="92" spans="3:10" x14ac:dyDescent="0.25">
      <c r="C92" s="1" t="s">
        <v>4318</v>
      </c>
      <c r="D92" s="1" t="s">
        <v>4320</v>
      </c>
      <c r="E92" s="1" t="s">
        <v>4865</v>
      </c>
      <c r="F92" s="1" t="s">
        <v>4874</v>
      </c>
      <c r="G92" s="1" t="s">
        <v>4869</v>
      </c>
      <c r="H92" s="1" t="s">
        <v>4918</v>
      </c>
      <c r="I92" s="1" t="s">
        <v>4896</v>
      </c>
      <c r="J92" s="1" t="s">
        <v>4924</v>
      </c>
    </row>
    <row r="93" spans="3:10" x14ac:dyDescent="0.25">
      <c r="C93" s="1" t="s">
        <v>4323</v>
      </c>
      <c r="D93" s="1" t="s">
        <v>4324</v>
      </c>
      <c r="E93" s="1" t="s">
        <v>4863</v>
      </c>
      <c r="F93" s="1" t="s">
        <v>4872</v>
      </c>
      <c r="G93" s="1" t="s">
        <v>4869</v>
      </c>
      <c r="H93" s="1" t="s">
        <v>4926</v>
      </c>
      <c r="I93" s="1" t="s">
        <v>4896</v>
      </c>
      <c r="J93" s="1" t="s">
        <v>4911</v>
      </c>
    </row>
    <row r="94" spans="3:10" x14ac:dyDescent="0.25">
      <c r="C94" s="1" t="s">
        <v>4466</v>
      </c>
      <c r="D94" s="1" t="s">
        <v>4468</v>
      </c>
      <c r="E94" s="1" t="s">
        <v>4865</v>
      </c>
      <c r="F94" s="1" t="s">
        <v>4875</v>
      </c>
      <c r="G94" s="1" t="s">
        <v>4869</v>
      </c>
      <c r="H94" s="1" t="s">
        <v>4918</v>
      </c>
      <c r="I94" s="1" t="s">
        <v>4896</v>
      </c>
      <c r="J94" s="1" t="s">
        <v>4911</v>
      </c>
    </row>
    <row r="95" spans="3:10" x14ac:dyDescent="0.25">
      <c r="C95" s="1" t="s">
        <v>4536</v>
      </c>
      <c r="D95" s="1" t="s">
        <v>4528</v>
      </c>
      <c r="E95" s="1" t="s">
        <v>4863</v>
      </c>
      <c r="F95" s="1" t="s">
        <v>4872</v>
      </c>
      <c r="G95" s="1" t="s">
        <v>4869</v>
      </c>
      <c r="H95" s="1" t="s">
        <v>4926</v>
      </c>
      <c r="I95" s="1" t="s">
        <v>4896</v>
      </c>
      <c r="J95" s="1" t="s">
        <v>4911</v>
      </c>
    </row>
    <row r="96" spans="3:10" x14ac:dyDescent="0.25">
      <c r="C96" s="1" t="s">
        <v>4538</v>
      </c>
      <c r="D96" s="1" t="s">
        <v>4539</v>
      </c>
      <c r="E96" s="1" t="s">
        <v>4865</v>
      </c>
      <c r="F96" s="1" t="s">
        <v>4874</v>
      </c>
      <c r="G96" s="1" t="s">
        <v>4869</v>
      </c>
      <c r="H96" s="1" t="s">
        <v>4916</v>
      </c>
      <c r="I96" s="1" t="s">
        <v>4896</v>
      </c>
      <c r="J96" s="1" t="s">
        <v>4911</v>
      </c>
    </row>
    <row r="97" spans="3:10" x14ac:dyDescent="0.25">
      <c r="C97" s="1" t="s">
        <v>4644</v>
      </c>
      <c r="D97" s="1" t="s">
        <v>4645</v>
      </c>
      <c r="E97" s="1" t="s">
        <v>4867</v>
      </c>
      <c r="F97" s="1" t="s">
        <v>4875</v>
      </c>
      <c r="G97" s="1" t="s">
        <v>4869</v>
      </c>
      <c r="H97" s="1" t="s">
        <v>4918</v>
      </c>
      <c r="I97" s="1" t="s">
        <v>4896</v>
      </c>
      <c r="J97" s="1" t="s">
        <v>4941</v>
      </c>
    </row>
    <row r="98" spans="3:10" x14ac:dyDescent="0.25">
      <c r="C98" s="1" t="s">
        <v>4682</v>
      </c>
      <c r="D98" s="1" t="s">
        <v>4684</v>
      </c>
      <c r="E98" s="1" t="s">
        <v>4863</v>
      </c>
      <c r="F98" s="1" t="s">
        <v>4872</v>
      </c>
      <c r="G98" s="1" t="s">
        <v>4869</v>
      </c>
      <c r="H98" s="1" t="s">
        <v>5009</v>
      </c>
      <c r="I98" s="1" t="s">
        <v>4896</v>
      </c>
      <c r="J98" s="1" t="s">
        <v>4911</v>
      </c>
    </row>
    <row r="99" spans="3:10" x14ac:dyDescent="0.25">
      <c r="C99" s="1" t="s">
        <v>4694</v>
      </c>
      <c r="D99" s="1" t="s">
        <v>4695</v>
      </c>
      <c r="E99" s="1" t="s">
        <v>4867</v>
      </c>
      <c r="F99" s="1" t="s">
        <v>4875</v>
      </c>
      <c r="G99" s="1" t="s">
        <v>4869</v>
      </c>
      <c r="H99" s="1" t="s">
        <v>5014</v>
      </c>
      <c r="I99" s="1" t="s">
        <v>4896</v>
      </c>
      <c r="J99" s="1" t="s">
        <v>4924</v>
      </c>
    </row>
    <row r="100" spans="3:10" x14ac:dyDescent="0.25">
      <c r="C100" s="1" t="s">
        <v>4701</v>
      </c>
      <c r="D100" s="1" t="s">
        <v>4702</v>
      </c>
      <c r="E100" s="1" t="s">
        <v>4863</v>
      </c>
      <c r="F100" s="1" t="s">
        <v>4873</v>
      </c>
      <c r="G100" s="1" t="s">
        <v>4869</v>
      </c>
      <c r="H100" s="1" t="s">
        <v>4918</v>
      </c>
      <c r="I100" s="1" t="s">
        <v>4896</v>
      </c>
      <c r="J100" s="1" t="s">
        <v>4911</v>
      </c>
    </row>
    <row r="101" spans="3:10" x14ac:dyDescent="0.25">
      <c r="C101" s="1" t="s">
        <v>4705</v>
      </c>
      <c r="D101" s="1" t="s">
        <v>2265</v>
      </c>
      <c r="E101" s="1" t="s">
        <v>4863</v>
      </c>
      <c r="F101" s="1" t="s">
        <v>4874</v>
      </c>
      <c r="G101" s="1" t="s">
        <v>4869</v>
      </c>
      <c r="H101" s="1" t="s">
        <v>5013</v>
      </c>
      <c r="I101" s="1" t="s">
        <v>4896</v>
      </c>
      <c r="J101" s="1" t="s">
        <v>4932</v>
      </c>
    </row>
    <row r="102" spans="3:10" x14ac:dyDescent="0.25">
      <c r="C102" s="1" t="s">
        <v>4709</v>
      </c>
      <c r="D102" s="1" t="s">
        <v>4710</v>
      </c>
      <c r="E102" s="1" t="s">
        <v>4865</v>
      </c>
      <c r="F102" s="1" t="s">
        <v>4873</v>
      </c>
      <c r="G102" s="1" t="s">
        <v>4869</v>
      </c>
      <c r="H102" s="1" t="s">
        <v>4926</v>
      </c>
      <c r="I102" s="1" t="s">
        <v>4896</v>
      </c>
      <c r="J102" s="1" t="s">
        <v>4928</v>
      </c>
    </row>
    <row r="103" spans="3:10" x14ac:dyDescent="0.25">
      <c r="C103" s="1" t="s">
        <v>1450</v>
      </c>
      <c r="D103" s="1" t="s">
        <v>1452</v>
      </c>
      <c r="E103" s="1" t="s">
        <v>4863</v>
      </c>
      <c r="F103" s="1" t="s">
        <v>4874</v>
      </c>
      <c r="G103" s="1" t="s">
        <v>4869</v>
      </c>
      <c r="H103" s="1" t="s">
        <v>5010</v>
      </c>
      <c r="I103" s="1" t="s">
        <v>4896</v>
      </c>
      <c r="J103" s="1" t="s">
        <v>4911</v>
      </c>
    </row>
    <row r="104" spans="3:10" x14ac:dyDescent="0.25">
      <c r="C104" s="1" t="s">
        <v>1464</v>
      </c>
      <c r="D104" s="1" t="s">
        <v>1467</v>
      </c>
      <c r="E104" s="1" t="s">
        <v>4865</v>
      </c>
      <c r="F104" s="1" t="s">
        <v>4874</v>
      </c>
      <c r="G104" s="1" t="s">
        <v>4869</v>
      </c>
      <c r="H104" s="1" t="s">
        <v>4919</v>
      </c>
      <c r="I104" s="1" t="s">
        <v>4896</v>
      </c>
      <c r="J104" s="1" t="s">
        <v>4924</v>
      </c>
    </row>
    <row r="105" spans="3:10" x14ac:dyDescent="0.25">
      <c r="C105" s="1" t="s">
        <v>3460</v>
      </c>
      <c r="D105" s="1" t="s">
        <v>1472</v>
      </c>
      <c r="E105" s="1" t="s">
        <v>4863</v>
      </c>
      <c r="F105" s="1" t="s">
        <v>4872</v>
      </c>
      <c r="G105" s="1" t="s">
        <v>4869</v>
      </c>
      <c r="H105" s="1" t="s">
        <v>5009</v>
      </c>
      <c r="I105" s="1" t="s">
        <v>4896</v>
      </c>
      <c r="J105" s="1" t="s">
        <v>4911</v>
      </c>
    </row>
    <row r="106" spans="3:10" x14ac:dyDescent="0.25">
      <c r="C106" s="1" t="s">
        <v>1480</v>
      </c>
      <c r="D106" s="1" t="s">
        <v>1481</v>
      </c>
      <c r="E106" s="1" t="s">
        <v>4863</v>
      </c>
      <c r="F106" s="1" t="s">
        <v>4873</v>
      </c>
      <c r="G106" s="1" t="s">
        <v>4869</v>
      </c>
      <c r="H106" s="1" t="s">
        <v>4926</v>
      </c>
      <c r="I106" s="1" t="s">
        <v>4896</v>
      </c>
      <c r="J106" s="1" t="s">
        <v>4911</v>
      </c>
    </row>
    <row r="107" spans="3:10" x14ac:dyDescent="0.25">
      <c r="C107" s="1" t="s">
        <v>1489</v>
      </c>
      <c r="D107" s="1" t="s">
        <v>1491</v>
      </c>
      <c r="E107" s="1" t="s">
        <v>4863</v>
      </c>
      <c r="F107" s="1" t="s">
        <v>4872</v>
      </c>
      <c r="G107" s="1" t="s">
        <v>4869</v>
      </c>
      <c r="H107" s="1" t="s">
        <v>4933</v>
      </c>
      <c r="I107" s="1" t="s">
        <v>4896</v>
      </c>
      <c r="J107" s="1" t="s">
        <v>4911</v>
      </c>
    </row>
    <row r="108" spans="3:10" x14ac:dyDescent="0.25">
      <c r="C108" s="1" t="s">
        <v>1497</v>
      </c>
      <c r="D108" s="1" t="s">
        <v>1498</v>
      </c>
      <c r="E108" s="1" t="s">
        <v>4863</v>
      </c>
      <c r="F108" s="1" t="s">
        <v>4872</v>
      </c>
      <c r="G108" s="1" t="s">
        <v>4869</v>
      </c>
      <c r="H108" s="1" t="s">
        <v>5009</v>
      </c>
      <c r="I108" s="1" t="s">
        <v>4896</v>
      </c>
      <c r="J108" s="1" t="s">
        <v>4911</v>
      </c>
    </row>
    <row r="109" spans="3:10" x14ac:dyDescent="0.25">
      <c r="C109" s="1" t="s">
        <v>1918</v>
      </c>
      <c r="D109" s="1" t="s">
        <v>1919</v>
      </c>
      <c r="E109" s="1" t="s">
        <v>4863</v>
      </c>
      <c r="F109" s="1" t="s">
        <v>4873</v>
      </c>
      <c r="G109" s="1" t="s">
        <v>4869</v>
      </c>
      <c r="H109" s="1" t="s">
        <v>5009</v>
      </c>
      <c r="I109" s="1" t="s">
        <v>4896</v>
      </c>
      <c r="J109" s="1" t="s">
        <v>4911</v>
      </c>
    </row>
    <row r="110" spans="3:10" x14ac:dyDescent="0.25">
      <c r="C110" s="1" t="s">
        <v>1508</v>
      </c>
      <c r="D110" s="1" t="s">
        <v>1510</v>
      </c>
      <c r="E110" s="1" t="s">
        <v>4865</v>
      </c>
      <c r="F110" s="1" t="s">
        <v>4874</v>
      </c>
      <c r="G110" s="1" t="s">
        <v>4869</v>
      </c>
      <c r="H110" s="1" t="s">
        <v>4956</v>
      </c>
      <c r="I110" s="1" t="s">
        <v>4896</v>
      </c>
      <c r="J110" s="1" t="s">
        <v>4911</v>
      </c>
    </row>
    <row r="111" spans="3:10" x14ac:dyDescent="0.25">
      <c r="C111" s="1" t="s">
        <v>1786</v>
      </c>
      <c r="D111" s="1" t="s">
        <v>1787</v>
      </c>
      <c r="E111" s="1" t="s">
        <v>4863</v>
      </c>
      <c r="F111" s="1" t="s">
        <v>4872</v>
      </c>
      <c r="G111" s="1" t="s">
        <v>4869</v>
      </c>
      <c r="H111" s="1" t="s">
        <v>4926</v>
      </c>
      <c r="I111" s="1" t="s">
        <v>4896</v>
      </c>
      <c r="J111" s="1" t="s">
        <v>4911</v>
      </c>
    </row>
    <row r="112" spans="3:10" x14ac:dyDescent="0.25">
      <c r="C112" s="1" t="s">
        <v>1857</v>
      </c>
      <c r="D112" s="1" t="s">
        <v>1859</v>
      </c>
      <c r="E112" s="1" t="s">
        <v>4863</v>
      </c>
      <c r="F112" s="1" t="s">
        <v>4872</v>
      </c>
      <c r="G112" s="1" t="s">
        <v>4869</v>
      </c>
      <c r="H112" s="1" t="s">
        <v>4933</v>
      </c>
      <c r="I112" s="1" t="s">
        <v>4896</v>
      </c>
      <c r="J112" s="1" t="s">
        <v>4911</v>
      </c>
    </row>
    <row r="113" spans="3:10" x14ac:dyDescent="0.25">
      <c r="C113" s="1" t="s">
        <v>1909</v>
      </c>
      <c r="D113" s="1" t="s">
        <v>1906</v>
      </c>
      <c r="E113" s="1" t="s">
        <v>4865</v>
      </c>
      <c r="F113" s="1" t="s">
        <v>4873</v>
      </c>
      <c r="G113" s="1" t="s">
        <v>4869</v>
      </c>
      <c r="H113" s="1" t="s">
        <v>5015</v>
      </c>
      <c r="I113" s="1" t="s">
        <v>4896</v>
      </c>
      <c r="J113" s="1" t="s">
        <v>4928</v>
      </c>
    </row>
    <row r="114" spans="3:10" x14ac:dyDescent="0.25">
      <c r="C114" s="31" t="s">
        <v>1927</v>
      </c>
      <c r="D114" s="1" t="s">
        <v>1929</v>
      </c>
      <c r="E114" s="1" t="s">
        <v>4867</v>
      </c>
      <c r="F114" s="1" t="s">
        <v>4875</v>
      </c>
      <c r="G114" s="1" t="s">
        <v>4869</v>
      </c>
      <c r="H114" s="1" t="s">
        <v>4921</v>
      </c>
      <c r="I114" s="1" t="s">
        <v>4896</v>
      </c>
      <c r="J114" s="1" t="s">
        <v>4924</v>
      </c>
    </row>
    <row r="115" spans="3:10" x14ac:dyDescent="0.25">
      <c r="C115" s="1" t="s">
        <v>2105</v>
      </c>
      <c r="D115" s="1" t="s">
        <v>2106</v>
      </c>
      <c r="E115" s="1" t="s">
        <v>4863</v>
      </c>
      <c r="F115" s="1" t="s">
        <v>4872</v>
      </c>
      <c r="G115" s="1" t="s">
        <v>4869</v>
      </c>
      <c r="H115" s="1" t="s">
        <v>5009</v>
      </c>
      <c r="I115" s="1" t="s">
        <v>4896</v>
      </c>
      <c r="J115" s="1" t="s">
        <v>4911</v>
      </c>
    </row>
    <row r="116" spans="3:10" x14ac:dyDescent="0.25">
      <c r="C116" s="1" t="s">
        <v>2282</v>
      </c>
      <c r="D116" s="1" t="s">
        <v>2284</v>
      </c>
      <c r="E116" s="1" t="s">
        <v>4864</v>
      </c>
      <c r="F116" s="1" t="s">
        <v>4875</v>
      </c>
      <c r="G116" s="1" t="s">
        <v>4869</v>
      </c>
      <c r="H116" s="1" t="s">
        <v>4923</v>
      </c>
      <c r="I116" s="1" t="s">
        <v>4896</v>
      </c>
      <c r="J116" s="1" t="s">
        <v>4924</v>
      </c>
    </row>
    <row r="117" spans="3:10" x14ac:dyDescent="0.25">
      <c r="C117" s="1" t="s">
        <v>2288</v>
      </c>
      <c r="D117" s="1" t="s">
        <v>2289</v>
      </c>
      <c r="E117" s="1" t="s">
        <v>4863</v>
      </c>
      <c r="F117" s="1" t="s">
        <v>4875</v>
      </c>
      <c r="G117" s="1" t="s">
        <v>4871</v>
      </c>
      <c r="H117" s="1" t="s">
        <v>3312</v>
      </c>
      <c r="I117" s="1" t="s">
        <v>4896</v>
      </c>
      <c r="J117" s="1" t="s">
        <v>4946</v>
      </c>
    </row>
    <row r="118" spans="3:10" x14ac:dyDescent="0.25">
      <c r="C118" s="1" t="s">
        <v>2295</v>
      </c>
      <c r="D118" s="1" t="s">
        <v>2296</v>
      </c>
      <c r="E118" s="1" t="s">
        <v>4863</v>
      </c>
      <c r="F118" s="1" t="s">
        <v>4872</v>
      </c>
      <c r="G118" s="1" t="s">
        <v>4869</v>
      </c>
      <c r="H118" s="1" t="s">
        <v>4926</v>
      </c>
      <c r="I118" s="1" t="s">
        <v>4896</v>
      </c>
      <c r="J118" s="1" t="s">
        <v>4911</v>
      </c>
    </row>
    <row r="119" spans="3:10" x14ac:dyDescent="0.25">
      <c r="C119" s="1" t="s">
        <v>2393</v>
      </c>
      <c r="D119" s="1" t="s">
        <v>2394</v>
      </c>
      <c r="E119" s="1" t="s">
        <v>4863</v>
      </c>
      <c r="F119" s="1" t="s">
        <v>4875</v>
      </c>
      <c r="G119" s="1" t="s">
        <v>4871</v>
      </c>
      <c r="H119" s="1" t="s">
        <v>5014</v>
      </c>
      <c r="I119" s="1" t="s">
        <v>4896</v>
      </c>
      <c r="J119" s="1" t="s">
        <v>4946</v>
      </c>
    </row>
    <row r="120" spans="3:10" x14ac:dyDescent="0.25">
      <c r="C120" s="1" t="s">
        <v>2405</v>
      </c>
      <c r="D120" s="1" t="s">
        <v>2406</v>
      </c>
      <c r="E120" s="1" t="s">
        <v>4863</v>
      </c>
      <c r="F120" s="1" t="s">
        <v>4874</v>
      </c>
      <c r="G120" s="1" t="s">
        <v>4869</v>
      </c>
      <c r="H120" s="1" t="s">
        <v>4918</v>
      </c>
      <c r="I120" s="1" t="s">
        <v>4896</v>
      </c>
      <c r="J120" s="1" t="s">
        <v>4911</v>
      </c>
    </row>
    <row r="121" spans="3:10" x14ac:dyDescent="0.25">
      <c r="C121" s="1" t="s">
        <v>3455</v>
      </c>
      <c r="D121" s="1" t="s">
        <v>3456</v>
      </c>
      <c r="E121" s="1" t="s">
        <v>4867</v>
      </c>
      <c r="F121" s="1" t="s">
        <v>4875</v>
      </c>
      <c r="G121" s="1" t="s">
        <v>4869</v>
      </c>
      <c r="H121" s="1" t="s">
        <v>4920</v>
      </c>
      <c r="I121" s="1" t="s">
        <v>4896</v>
      </c>
      <c r="J121" s="1" t="s">
        <v>4911</v>
      </c>
    </row>
    <row r="122" spans="3:10" x14ac:dyDescent="0.25">
      <c r="C122" s="1" t="s">
        <v>3669</v>
      </c>
      <c r="D122" s="1" t="s">
        <v>3670</v>
      </c>
      <c r="E122" s="1" t="s">
        <v>4863</v>
      </c>
      <c r="F122" s="1" t="s">
        <v>4873</v>
      </c>
      <c r="G122" s="1" t="s">
        <v>4869</v>
      </c>
      <c r="H122" s="1" t="s">
        <v>4925</v>
      </c>
      <c r="I122" s="1" t="s">
        <v>4896</v>
      </c>
      <c r="J122" s="1" t="s">
        <v>4911</v>
      </c>
    </row>
    <row r="123" spans="3:10" x14ac:dyDescent="0.25">
      <c r="C123" t="s">
        <v>5017</v>
      </c>
      <c r="D123" s="1" t="s">
        <v>4087</v>
      </c>
      <c r="E123" s="1" t="s">
        <v>4863</v>
      </c>
      <c r="F123" s="1" t="s">
        <v>4873</v>
      </c>
      <c r="G123" s="1" t="s">
        <v>4869</v>
      </c>
      <c r="H123" s="1" t="s">
        <v>4926</v>
      </c>
      <c r="I123" s="1" t="s">
        <v>4896</v>
      </c>
      <c r="J123" s="1" t="s">
        <v>4911</v>
      </c>
    </row>
    <row r="124" spans="3:10" x14ac:dyDescent="0.25">
      <c r="C124" s="1" t="s">
        <v>4179</v>
      </c>
      <c r="D124" s="1" t="s">
        <v>4182</v>
      </c>
      <c r="E124" s="1" t="s">
        <v>4863</v>
      </c>
      <c r="F124" s="1" t="s">
        <v>4872</v>
      </c>
      <c r="G124" s="1" t="s">
        <v>4869</v>
      </c>
      <c r="H124" s="1" t="s">
        <v>5009</v>
      </c>
      <c r="I124" s="1" t="s">
        <v>4896</v>
      </c>
      <c r="J124" s="1" t="s">
        <v>4911</v>
      </c>
    </row>
    <row r="125" spans="3:10" x14ac:dyDescent="0.25">
      <c r="C125" s="1" t="s">
        <v>4330</v>
      </c>
      <c r="D125" s="1" t="s">
        <v>4332</v>
      </c>
      <c r="E125" s="1" t="s">
        <v>4863</v>
      </c>
      <c r="F125" s="1" t="s">
        <v>4873</v>
      </c>
      <c r="G125" s="1" t="s">
        <v>4869</v>
      </c>
      <c r="H125" s="1" t="s">
        <v>4926</v>
      </c>
      <c r="I125" s="1" t="s">
        <v>4896</v>
      </c>
      <c r="J125" s="1" t="s">
        <v>4911</v>
      </c>
    </row>
    <row r="126" spans="3:10" x14ac:dyDescent="0.25">
      <c r="C126" s="1" t="s">
        <v>4340</v>
      </c>
      <c r="D126" s="1" t="s">
        <v>4343</v>
      </c>
      <c r="E126" s="1" t="s">
        <v>4863</v>
      </c>
      <c r="F126" s="1" t="s">
        <v>4874</v>
      </c>
      <c r="G126" s="1" t="s">
        <v>4870</v>
      </c>
      <c r="H126" s="1" t="s">
        <v>5018</v>
      </c>
      <c r="I126" s="1" t="s">
        <v>4896</v>
      </c>
      <c r="J126" s="1" t="s">
        <v>4911</v>
      </c>
    </row>
    <row r="127" spans="3:10" x14ac:dyDescent="0.25">
      <c r="C127" s="1" t="s">
        <v>1514</v>
      </c>
      <c r="D127" s="1" t="s">
        <v>1515</v>
      </c>
      <c r="E127" s="1" t="s">
        <v>4865</v>
      </c>
      <c r="F127" s="1" t="s">
        <v>4874</v>
      </c>
      <c r="G127" s="1" t="s">
        <v>4869</v>
      </c>
      <c r="H127" s="1" t="s">
        <v>4920</v>
      </c>
      <c r="I127" s="1" t="s">
        <v>4896</v>
      </c>
      <c r="J127" s="1" t="s">
        <v>4911</v>
      </c>
    </row>
    <row r="128" spans="3:10" x14ac:dyDescent="0.25">
      <c r="C128" s="1" t="s">
        <v>2176</v>
      </c>
      <c r="D128" s="1" t="s">
        <v>2177</v>
      </c>
      <c r="E128" s="1" t="s">
        <v>4863</v>
      </c>
      <c r="F128" s="1" t="s">
        <v>4874</v>
      </c>
      <c r="G128" s="1" t="s">
        <v>4869</v>
      </c>
      <c r="H128" s="1" t="s">
        <v>5014</v>
      </c>
      <c r="I128" s="1" t="s">
        <v>4896</v>
      </c>
      <c r="J128" s="1" t="s">
        <v>4911</v>
      </c>
    </row>
    <row r="129" spans="3:10" x14ac:dyDescent="0.25">
      <c r="C129" s="1" t="s">
        <v>2774</v>
      </c>
      <c r="D129" s="1" t="s">
        <v>2410</v>
      </c>
      <c r="E129" s="1" t="s">
        <v>4863</v>
      </c>
      <c r="F129" s="1" t="s">
        <v>4873</v>
      </c>
      <c r="G129" s="1" t="s">
        <v>4869</v>
      </c>
      <c r="H129" s="1" t="s">
        <v>4926</v>
      </c>
      <c r="I129" s="1" t="s">
        <v>4896</v>
      </c>
      <c r="J129" s="1" t="s">
        <v>4911</v>
      </c>
    </row>
    <row r="130" spans="3:10" x14ac:dyDescent="0.25">
      <c r="C130" s="1" t="s">
        <v>2420</v>
      </c>
      <c r="D130" s="1" t="s">
        <v>2421</v>
      </c>
      <c r="E130" s="1" t="s">
        <v>4864</v>
      </c>
      <c r="F130" s="1" t="s">
        <v>4873</v>
      </c>
      <c r="G130" s="1" t="s">
        <v>4869</v>
      </c>
      <c r="H130" s="1" t="s">
        <v>4936</v>
      </c>
      <c r="I130" s="1" t="s">
        <v>4896</v>
      </c>
      <c r="J130" s="1" t="s">
        <v>4928</v>
      </c>
    </row>
    <row r="131" spans="3:10" x14ac:dyDescent="0.25">
      <c r="C131" s="1" t="s">
        <v>2429</v>
      </c>
      <c r="D131" s="1" t="s">
        <v>2430</v>
      </c>
      <c r="E131" s="1" t="s">
        <v>4863</v>
      </c>
      <c r="F131" s="1" t="s">
        <v>4873</v>
      </c>
      <c r="G131" s="1" t="s">
        <v>4869</v>
      </c>
      <c r="H131" s="1" t="s">
        <v>4926</v>
      </c>
      <c r="I131" s="1" t="s">
        <v>4896</v>
      </c>
      <c r="J131" s="1" t="s">
        <v>4928</v>
      </c>
    </row>
    <row r="132" spans="3:10" x14ac:dyDescent="0.25">
      <c r="C132" s="1" t="s">
        <v>2994</v>
      </c>
      <c r="D132" s="1" t="s">
        <v>2995</v>
      </c>
      <c r="E132" s="1" t="s">
        <v>4865</v>
      </c>
      <c r="F132" s="1" t="s">
        <v>4874</v>
      </c>
      <c r="G132" s="1" t="s">
        <v>4869</v>
      </c>
      <c r="H132" s="1" t="s">
        <v>4920</v>
      </c>
      <c r="I132" s="1" t="s">
        <v>4896</v>
      </c>
      <c r="J132" s="1" t="s">
        <v>4924</v>
      </c>
    </row>
    <row r="133" spans="3:10" x14ac:dyDescent="0.25">
      <c r="C133" s="1" t="s">
        <v>2997</v>
      </c>
      <c r="D133" s="1" t="s">
        <v>2998</v>
      </c>
      <c r="E133" s="1" t="s">
        <v>4867</v>
      </c>
      <c r="F133" s="1" t="s">
        <v>4875</v>
      </c>
      <c r="G133" s="1" t="s">
        <v>4869</v>
      </c>
      <c r="H133" s="1" t="s">
        <v>4920</v>
      </c>
      <c r="I133" s="1" t="s">
        <v>4896</v>
      </c>
      <c r="J133" s="1" t="s">
        <v>4924</v>
      </c>
    </row>
    <row r="134" spans="3:10" x14ac:dyDescent="0.25">
      <c r="C134" s="1" t="s">
        <v>3004</v>
      </c>
      <c r="D134" s="1" t="s">
        <v>3005</v>
      </c>
      <c r="E134" s="1" t="s">
        <v>4863</v>
      </c>
      <c r="F134" s="1" t="s">
        <v>4872</v>
      </c>
      <c r="G134" s="1" t="s">
        <v>4869</v>
      </c>
      <c r="H134" s="1" t="s">
        <v>4926</v>
      </c>
      <c r="I134" s="1" t="s">
        <v>4896</v>
      </c>
      <c r="J134" s="1" t="s">
        <v>4911</v>
      </c>
    </row>
    <row r="135" spans="3:10" x14ac:dyDescent="0.25">
      <c r="C135" s="1" t="s">
        <v>3483</v>
      </c>
      <c r="D135" s="1" t="s">
        <v>3484</v>
      </c>
      <c r="E135" s="1" t="s">
        <v>4863</v>
      </c>
      <c r="F135" s="1" t="s">
        <v>4873</v>
      </c>
      <c r="G135" s="1" t="s">
        <v>4869</v>
      </c>
      <c r="H135" s="1" t="s">
        <v>4925</v>
      </c>
      <c r="I135" s="1" t="s">
        <v>4896</v>
      </c>
      <c r="J135" s="1" t="s">
        <v>4911</v>
      </c>
    </row>
    <row r="136" spans="3:10" x14ac:dyDescent="0.25">
      <c r="C136" s="1" t="s">
        <v>4262</v>
      </c>
      <c r="D136" s="1" t="s">
        <v>4263</v>
      </c>
      <c r="E136" s="1" t="s">
        <v>4863</v>
      </c>
      <c r="F136" s="1" t="s">
        <v>4872</v>
      </c>
      <c r="G136" s="1" t="s">
        <v>4869</v>
      </c>
      <c r="H136" s="1" t="s">
        <v>5009</v>
      </c>
      <c r="I136" s="1" t="s">
        <v>4896</v>
      </c>
      <c r="J136" s="1" t="s">
        <v>4911</v>
      </c>
    </row>
    <row r="137" spans="3:10" x14ac:dyDescent="0.25">
      <c r="C137" s="23" t="s">
        <v>4268</v>
      </c>
      <c r="D137" s="23" t="s">
        <v>4269</v>
      </c>
      <c r="E137" s="23" t="s">
        <v>4863</v>
      </c>
      <c r="F137" s="23" t="s">
        <v>4872</v>
      </c>
      <c r="G137" s="23" t="s">
        <v>4869</v>
      </c>
      <c r="H137" s="23" t="s">
        <v>5009</v>
      </c>
      <c r="I137" s="23" t="s">
        <v>4896</v>
      </c>
      <c r="J137" s="23" t="s">
        <v>4911</v>
      </c>
    </row>
    <row r="138" spans="3:10" x14ac:dyDescent="0.25">
      <c r="C138" s="1" t="s">
        <v>4472</v>
      </c>
      <c r="D138" s="1" t="s">
        <v>4474</v>
      </c>
      <c r="E138" s="1" t="s">
        <v>4865</v>
      </c>
      <c r="F138" s="1" t="s">
        <v>4875</v>
      </c>
      <c r="G138" s="1" t="s">
        <v>4869</v>
      </c>
      <c r="H138" s="1" t="s">
        <v>5010</v>
      </c>
      <c r="I138" s="1" t="s">
        <v>4896</v>
      </c>
      <c r="J138" s="1" t="s">
        <v>4911</v>
      </c>
    </row>
    <row r="139" spans="3:10" x14ac:dyDescent="0.25">
      <c r="C139" s="1" t="s">
        <v>4568</v>
      </c>
      <c r="D139" s="1" t="s">
        <v>4569</v>
      </c>
      <c r="E139" s="1" t="s">
        <v>4865</v>
      </c>
      <c r="F139" s="1" t="s">
        <v>4874</v>
      </c>
      <c r="G139" s="1" t="s">
        <v>4869</v>
      </c>
      <c r="H139" s="1" t="s">
        <v>4949</v>
      </c>
      <c r="I139" s="1" t="s">
        <v>4896</v>
      </c>
      <c r="J139" s="1" t="s">
        <v>4911</v>
      </c>
    </row>
    <row r="140" spans="3:10" x14ac:dyDescent="0.25">
      <c r="C140" s="1" t="s">
        <v>4613</v>
      </c>
      <c r="D140" s="1" t="s">
        <v>1398</v>
      </c>
      <c r="E140" s="1" t="s">
        <v>4863</v>
      </c>
      <c r="F140" s="1" t="s">
        <v>4874</v>
      </c>
      <c r="G140" s="1" t="s">
        <v>4869</v>
      </c>
      <c r="H140" s="1" t="s">
        <v>4926</v>
      </c>
      <c r="I140" s="1" t="s">
        <v>4896</v>
      </c>
      <c r="J140" s="1" t="s">
        <v>4911</v>
      </c>
    </row>
    <row r="141" spans="3:10" x14ac:dyDescent="0.25">
      <c r="C141" s="1" t="s">
        <v>4715</v>
      </c>
      <c r="D141" s="1" t="s">
        <v>4717</v>
      </c>
      <c r="E141" s="1" t="s">
        <v>4867</v>
      </c>
      <c r="F141" s="1" t="s">
        <v>4875</v>
      </c>
      <c r="G141" s="1" t="s">
        <v>4869</v>
      </c>
      <c r="H141" s="1" t="s">
        <v>4917</v>
      </c>
      <c r="I141" s="1" t="s">
        <v>4896</v>
      </c>
      <c r="J141" s="1" t="s">
        <v>4911</v>
      </c>
    </row>
    <row r="142" spans="3:10" x14ac:dyDescent="0.25">
      <c r="C142" s="1" t="s">
        <v>4727</v>
      </c>
      <c r="D142" s="1" t="s">
        <v>4728</v>
      </c>
      <c r="E142" s="1" t="s">
        <v>4863</v>
      </c>
      <c r="F142" s="1" t="s">
        <v>4875</v>
      </c>
      <c r="G142" s="1" t="s">
        <v>4869</v>
      </c>
      <c r="H142" s="1" t="s">
        <v>4921</v>
      </c>
      <c r="I142" s="1" t="s">
        <v>4896</v>
      </c>
      <c r="J142" s="1" t="s">
        <v>4911</v>
      </c>
    </row>
    <row r="143" spans="3:10" x14ac:dyDescent="0.25">
      <c r="C143" s="1" t="s">
        <v>1525</v>
      </c>
      <c r="D143" s="1" t="s">
        <v>1526</v>
      </c>
      <c r="E143" s="1" t="s">
        <v>4863</v>
      </c>
      <c r="F143" s="1" t="s">
        <v>4873</v>
      </c>
      <c r="G143" s="1" t="s">
        <v>4870</v>
      </c>
      <c r="H143" s="1" t="s">
        <v>5020</v>
      </c>
      <c r="I143" s="1" t="s">
        <v>4896</v>
      </c>
      <c r="J143" s="1" t="s">
        <v>4911</v>
      </c>
    </row>
    <row r="144" spans="3:10" x14ac:dyDescent="0.25">
      <c r="C144" s="32" t="s">
        <v>2775</v>
      </c>
      <c r="D144" s="1" t="s">
        <v>1868</v>
      </c>
      <c r="E144" s="1" t="s">
        <v>4865</v>
      </c>
      <c r="F144" s="1" t="s">
        <v>4873</v>
      </c>
      <c r="G144" s="1" t="s">
        <v>4870</v>
      </c>
      <c r="H144" s="1" t="s">
        <v>5009</v>
      </c>
      <c r="I144" s="1" t="s">
        <v>4896</v>
      </c>
      <c r="J144" s="1" t="s">
        <v>4911</v>
      </c>
    </row>
    <row r="145" spans="3:10" x14ac:dyDescent="0.25">
      <c r="C145" s="1" t="s">
        <v>1948</v>
      </c>
      <c r="D145" s="1" t="s">
        <v>1952</v>
      </c>
      <c r="E145" s="1" t="s">
        <v>4865</v>
      </c>
      <c r="F145" s="1" t="s">
        <v>4875</v>
      </c>
      <c r="G145" s="1" t="s">
        <v>4869</v>
      </c>
      <c r="H145" s="1" t="s">
        <v>4922</v>
      </c>
      <c r="I145" s="1" t="s">
        <v>4896</v>
      </c>
      <c r="J145" s="1" t="s">
        <v>4911</v>
      </c>
    </row>
    <row r="146" spans="3:10" x14ac:dyDescent="0.25">
      <c r="C146" s="1" t="s">
        <v>2300</v>
      </c>
      <c r="D146" s="1" t="s">
        <v>2302</v>
      </c>
      <c r="E146" s="1" t="s">
        <v>4864</v>
      </c>
      <c r="F146" s="1" t="s">
        <v>4875</v>
      </c>
      <c r="G146" s="1" t="s">
        <v>4869</v>
      </c>
      <c r="H146" s="1" t="s">
        <v>4923</v>
      </c>
      <c r="I146" s="1" t="s">
        <v>4896</v>
      </c>
      <c r="J146" s="1" t="s">
        <v>4914</v>
      </c>
    </row>
    <row r="147" spans="3:10" x14ac:dyDescent="0.25">
      <c r="C147" s="1" t="s">
        <v>4025</v>
      </c>
      <c r="D147" s="1" t="s">
        <v>2309</v>
      </c>
      <c r="E147" s="1" t="s">
        <v>4865</v>
      </c>
      <c r="F147" s="1" t="s">
        <v>4875</v>
      </c>
      <c r="G147" s="1" t="s">
        <v>4869</v>
      </c>
      <c r="H147" s="1" t="s">
        <v>4949</v>
      </c>
      <c r="I147" s="1" t="s">
        <v>4896</v>
      </c>
      <c r="J147" s="1" t="s">
        <v>4911</v>
      </c>
    </row>
    <row r="148" spans="3:10" x14ac:dyDescent="0.25">
      <c r="C148" s="13" t="s">
        <v>3879</v>
      </c>
      <c r="D148" t="s">
        <v>3497</v>
      </c>
      <c r="E148" s="1" t="s">
        <v>4863</v>
      </c>
      <c r="F148" t="s">
        <v>4875</v>
      </c>
      <c r="G148" t="s">
        <v>4871</v>
      </c>
      <c r="H148" s="13" t="s">
        <v>5023</v>
      </c>
      <c r="I148" s="1" t="s">
        <v>4896</v>
      </c>
      <c r="J148" s="13" t="s">
        <v>4946</v>
      </c>
    </row>
    <row r="149" spans="3:10" x14ac:dyDescent="0.25">
      <c r="C149" s="1" t="s">
        <v>3012</v>
      </c>
      <c r="D149" s="1" t="s">
        <v>3013</v>
      </c>
      <c r="E149" s="1" t="s">
        <v>4863</v>
      </c>
      <c r="F149" t="s">
        <v>4875</v>
      </c>
      <c r="G149" t="s">
        <v>4871</v>
      </c>
      <c r="H149" s="13" t="s">
        <v>5023</v>
      </c>
      <c r="I149" s="1" t="s">
        <v>4896</v>
      </c>
      <c r="J149" s="13" t="s">
        <v>4946</v>
      </c>
    </row>
    <row r="150" spans="3:10" x14ac:dyDescent="0.25">
      <c r="C150" s="1" t="s">
        <v>3017</v>
      </c>
      <c r="D150" s="1" t="s">
        <v>3018</v>
      </c>
      <c r="E150" s="1" t="s">
        <v>4863</v>
      </c>
      <c r="F150" t="s">
        <v>4874</v>
      </c>
      <c r="G150" t="s">
        <v>4871</v>
      </c>
      <c r="H150" s="13" t="s">
        <v>5023</v>
      </c>
      <c r="I150" s="1" t="s">
        <v>4896</v>
      </c>
      <c r="J150" s="13" t="s">
        <v>4946</v>
      </c>
    </row>
    <row r="151" spans="3:10" x14ac:dyDescent="0.25">
      <c r="C151" s="1" t="s">
        <v>3489</v>
      </c>
      <c r="D151" s="1" t="s">
        <v>3490</v>
      </c>
      <c r="E151" s="1" t="s">
        <v>4867</v>
      </c>
      <c r="F151" t="s">
        <v>4875</v>
      </c>
      <c r="G151" s="1" t="s">
        <v>4869</v>
      </c>
      <c r="H151" s="1" t="s">
        <v>4949</v>
      </c>
      <c r="I151" s="1" t="s">
        <v>4896</v>
      </c>
      <c r="J151" s="1" t="s">
        <v>4924</v>
      </c>
    </row>
    <row r="152" spans="3:10" x14ac:dyDescent="0.25">
      <c r="C152" s="1" t="s">
        <v>3503</v>
      </c>
      <c r="D152" s="1" t="s">
        <v>3504</v>
      </c>
      <c r="E152" s="1" t="s">
        <v>4863</v>
      </c>
      <c r="F152" s="1" t="s">
        <v>4873</v>
      </c>
      <c r="G152" s="1" t="s">
        <v>4869</v>
      </c>
      <c r="H152" s="1" t="s">
        <v>5179</v>
      </c>
      <c r="I152" s="1" t="s">
        <v>4896</v>
      </c>
      <c r="J152" s="1" t="s">
        <v>4911</v>
      </c>
    </row>
    <row r="153" spans="3:10" x14ac:dyDescent="0.25">
      <c r="C153" s="1" t="s">
        <v>3922</v>
      </c>
      <c r="D153" s="1" t="s">
        <v>3563</v>
      </c>
      <c r="E153" s="1" t="s">
        <v>4863</v>
      </c>
      <c r="F153" t="s">
        <v>4875</v>
      </c>
      <c r="G153" t="s">
        <v>4871</v>
      </c>
      <c r="H153" s="13" t="s">
        <v>5023</v>
      </c>
      <c r="I153" s="1" t="s">
        <v>4896</v>
      </c>
      <c r="J153" s="13" t="s">
        <v>4946</v>
      </c>
    </row>
    <row r="154" spans="3:10" x14ac:dyDescent="0.25">
      <c r="C154" s="1" t="s">
        <v>3846</v>
      </c>
      <c r="D154" s="1" t="s">
        <v>3847</v>
      </c>
      <c r="E154" s="1" t="s">
        <v>4864</v>
      </c>
      <c r="F154" s="1" t="s">
        <v>4875</v>
      </c>
      <c r="G154" s="1" t="s">
        <v>4869</v>
      </c>
      <c r="H154" s="1" t="s">
        <v>5014</v>
      </c>
      <c r="I154" s="1" t="s">
        <v>4896</v>
      </c>
      <c r="J154" s="1" t="s">
        <v>4911</v>
      </c>
    </row>
    <row r="155" spans="3:10" x14ac:dyDescent="0.25">
      <c r="C155" s="1" t="s">
        <v>4169</v>
      </c>
      <c r="D155" s="1" t="s">
        <v>4171</v>
      </c>
      <c r="E155" s="1" t="s">
        <v>4865</v>
      </c>
      <c r="F155" s="1" t="s">
        <v>4874</v>
      </c>
      <c r="G155" s="1" t="s">
        <v>4869</v>
      </c>
      <c r="H155" s="1" t="s">
        <v>4920</v>
      </c>
      <c r="I155" s="1" t="s">
        <v>4896</v>
      </c>
      <c r="J155" s="1" t="s">
        <v>4911</v>
      </c>
    </row>
    <row r="156" spans="3:10" x14ac:dyDescent="0.25">
      <c r="C156" s="1" t="s">
        <v>4224</v>
      </c>
      <c r="D156" s="1" t="s">
        <v>4225</v>
      </c>
      <c r="E156" s="1" t="s">
        <v>4865</v>
      </c>
      <c r="F156" s="1" t="s">
        <v>4874</v>
      </c>
      <c r="G156" s="1" t="s">
        <v>4869</v>
      </c>
      <c r="H156" s="1" t="s">
        <v>4949</v>
      </c>
      <c r="I156" s="1" t="s">
        <v>4896</v>
      </c>
      <c r="J156" s="1" t="s">
        <v>4924</v>
      </c>
    </row>
    <row r="157" spans="3:10" x14ac:dyDescent="0.25">
      <c r="C157" s="1" t="s">
        <v>4731</v>
      </c>
      <c r="D157" s="1" t="s">
        <v>4732</v>
      </c>
      <c r="E157" s="1" t="s">
        <v>4863</v>
      </c>
      <c r="F157" s="1" t="s">
        <v>4872</v>
      </c>
      <c r="G157" s="1" t="s">
        <v>4869</v>
      </c>
      <c r="H157" s="1" t="s">
        <v>4933</v>
      </c>
      <c r="I157" s="1" t="s">
        <v>4896</v>
      </c>
      <c r="J157" s="1" t="s">
        <v>4911</v>
      </c>
    </row>
    <row r="158" spans="3:10" x14ac:dyDescent="0.25">
      <c r="C158" s="1" t="s">
        <v>5055</v>
      </c>
      <c r="D158" s="1" t="s">
        <v>5057</v>
      </c>
      <c r="E158" s="1" t="s">
        <v>4865</v>
      </c>
      <c r="F158" s="1" t="s">
        <v>4873</v>
      </c>
      <c r="G158" s="1" t="s">
        <v>4869</v>
      </c>
      <c r="H158" s="1" t="s">
        <v>5020</v>
      </c>
      <c r="I158" s="1" t="s">
        <v>4896</v>
      </c>
      <c r="J158" s="1" t="s">
        <v>4928</v>
      </c>
    </row>
    <row r="159" spans="3:10" x14ac:dyDescent="0.25">
      <c r="C159" s="1" t="s">
        <v>5105</v>
      </c>
      <c r="D159" s="1" t="s">
        <v>5107</v>
      </c>
      <c r="E159" s="1" t="s">
        <v>4863</v>
      </c>
      <c r="F159" s="1" t="s">
        <v>4873</v>
      </c>
      <c r="G159" s="1" t="s">
        <v>4869</v>
      </c>
      <c r="H159" s="1" t="s">
        <v>5010</v>
      </c>
      <c r="I159" s="1" t="s">
        <v>4896</v>
      </c>
      <c r="J159" s="1" t="s">
        <v>4911</v>
      </c>
    </row>
    <row r="160" spans="3:10" x14ac:dyDescent="0.25">
      <c r="C160" s="1" t="s">
        <v>5116</v>
      </c>
      <c r="D160" s="1" t="s">
        <v>5121</v>
      </c>
      <c r="E160" s="1" t="s">
        <v>4865</v>
      </c>
      <c r="F160" s="1" t="s">
        <v>4874</v>
      </c>
      <c r="G160" s="1" t="s">
        <v>4869</v>
      </c>
      <c r="H160" s="1" t="s">
        <v>4925</v>
      </c>
      <c r="I160" s="1" t="s">
        <v>4896</v>
      </c>
      <c r="J160" s="1" t="s">
        <v>4911</v>
      </c>
    </row>
    <row r="161" spans="3:10" x14ac:dyDescent="0.25">
      <c r="C161" s="1" t="s">
        <v>5131</v>
      </c>
      <c r="D161" s="1" t="s">
        <v>5133</v>
      </c>
      <c r="E161" s="1"/>
      <c r="F161" s="1"/>
      <c r="G161" s="1"/>
      <c r="H161" s="1"/>
      <c r="I161" s="1"/>
      <c r="J161" s="1"/>
    </row>
    <row r="162" spans="3:10" x14ac:dyDescent="0.25">
      <c r="C162" s="1" t="s">
        <v>1532</v>
      </c>
      <c r="D162" s="1" t="s">
        <v>1533</v>
      </c>
      <c r="E162" s="1" t="s">
        <v>4863</v>
      </c>
      <c r="F162" s="1" t="s">
        <v>4873</v>
      </c>
      <c r="G162" s="1" t="s">
        <v>4869</v>
      </c>
      <c r="H162" s="1" t="s">
        <v>4920</v>
      </c>
      <c r="I162" s="1" t="s">
        <v>4896</v>
      </c>
      <c r="J162" s="1" t="s">
        <v>4924</v>
      </c>
    </row>
    <row r="163" spans="3:10" x14ac:dyDescent="0.25">
      <c r="C163" s="1" t="s">
        <v>1538</v>
      </c>
      <c r="D163" s="1" t="s">
        <v>1542</v>
      </c>
      <c r="E163" s="1" t="s">
        <v>4863</v>
      </c>
      <c r="F163" s="1" t="s">
        <v>4874</v>
      </c>
      <c r="G163" s="1" t="s">
        <v>4869</v>
      </c>
      <c r="H163" s="1" t="s">
        <v>5179</v>
      </c>
      <c r="I163" s="1" t="s">
        <v>4896</v>
      </c>
      <c r="J163" s="1" t="s">
        <v>4911</v>
      </c>
    </row>
    <row r="164" spans="3:10" x14ac:dyDescent="0.25">
      <c r="C164" s="1" t="s">
        <v>4939</v>
      </c>
      <c r="D164" s="1" t="s">
        <v>1891</v>
      </c>
      <c r="E164" s="1" t="s">
        <v>4865</v>
      </c>
      <c r="F164" s="1" t="s">
        <v>4873</v>
      </c>
      <c r="G164" s="1" t="s">
        <v>4869</v>
      </c>
      <c r="H164" s="1" t="s">
        <v>4926</v>
      </c>
      <c r="I164" s="1" t="s">
        <v>4896</v>
      </c>
      <c r="J164" s="1" t="s">
        <v>4911</v>
      </c>
    </row>
    <row r="165" spans="3:10" x14ac:dyDescent="0.25">
      <c r="C165" s="1" t="s">
        <v>2017</v>
      </c>
      <c r="D165" s="1" t="s">
        <v>2186</v>
      </c>
      <c r="E165" s="1" t="s">
        <v>4865</v>
      </c>
      <c r="F165" s="1" t="s">
        <v>4874</v>
      </c>
      <c r="G165" s="1" t="s">
        <v>4869</v>
      </c>
      <c r="H165" s="1" t="s">
        <v>4949</v>
      </c>
      <c r="I165" s="1" t="s">
        <v>4896</v>
      </c>
      <c r="J165" s="1" t="s">
        <v>4924</v>
      </c>
    </row>
    <row r="166" spans="3:10" x14ac:dyDescent="0.25">
      <c r="C166" s="1" t="s">
        <v>2315</v>
      </c>
      <c r="D166" s="1" t="s">
        <v>2316</v>
      </c>
      <c r="E166" s="1" t="s">
        <v>4863</v>
      </c>
      <c r="F166" s="1" t="s">
        <v>4872</v>
      </c>
      <c r="G166" s="1" t="s">
        <v>4869</v>
      </c>
      <c r="H166" s="1" t="s">
        <v>4933</v>
      </c>
      <c r="I166" s="1" t="s">
        <v>4896</v>
      </c>
      <c r="J166" s="1" t="s">
        <v>4911</v>
      </c>
    </row>
    <row r="167" spans="3:10" x14ac:dyDescent="0.25">
      <c r="C167" s="1" t="s">
        <v>2320</v>
      </c>
      <c r="D167" s="1" t="s">
        <v>2321</v>
      </c>
      <c r="E167" s="1" t="s">
        <v>4863</v>
      </c>
      <c r="F167" s="1" t="s">
        <v>4874</v>
      </c>
      <c r="G167" s="1" t="s">
        <v>4869</v>
      </c>
      <c r="H167" s="1" t="s">
        <v>5063</v>
      </c>
      <c r="I167" s="1" t="s">
        <v>4896</v>
      </c>
      <c r="J167" s="1" t="s">
        <v>4911</v>
      </c>
    </row>
    <row r="168" spans="3:10" x14ac:dyDescent="0.25">
      <c r="C168" s="1" t="s">
        <v>3022</v>
      </c>
      <c r="D168" s="1" t="s">
        <v>3023</v>
      </c>
      <c r="E168" s="1" t="s">
        <v>4863</v>
      </c>
      <c r="F168" s="1" t="s">
        <v>4872</v>
      </c>
      <c r="G168" s="1" t="s">
        <v>4869</v>
      </c>
      <c r="H168" s="1" t="s">
        <v>4933</v>
      </c>
      <c r="I168" s="1" t="s">
        <v>4896</v>
      </c>
      <c r="J168" s="1" t="s">
        <v>4911</v>
      </c>
    </row>
    <row r="169" spans="3:10" x14ac:dyDescent="0.25">
      <c r="C169" s="1" t="s">
        <v>3029</v>
      </c>
      <c r="D169" s="1" t="s">
        <v>3030</v>
      </c>
      <c r="E169" s="1" t="s">
        <v>4863</v>
      </c>
      <c r="F169" s="1" t="s">
        <v>4872</v>
      </c>
      <c r="G169" s="1" t="s">
        <v>4869</v>
      </c>
      <c r="H169" s="1" t="s">
        <v>4933</v>
      </c>
      <c r="I169" s="1" t="s">
        <v>4896</v>
      </c>
      <c r="J169" s="1" t="s">
        <v>4911</v>
      </c>
    </row>
    <row r="170" spans="3:10" x14ac:dyDescent="0.25">
      <c r="C170" s="1" t="s">
        <v>3037</v>
      </c>
      <c r="D170" s="1" t="s">
        <v>3038</v>
      </c>
      <c r="E170" s="1" t="s">
        <v>4864</v>
      </c>
      <c r="F170" s="1" t="s">
        <v>4875</v>
      </c>
      <c r="G170" s="1" t="s">
        <v>4869</v>
      </c>
      <c r="H170" s="1" t="s">
        <v>4920</v>
      </c>
      <c r="I170" s="1" t="s">
        <v>4896</v>
      </c>
      <c r="J170" s="1" t="s">
        <v>4911</v>
      </c>
    </row>
    <row r="171" spans="3:10" x14ac:dyDescent="0.25">
      <c r="C171" s="1" t="s">
        <v>3044</v>
      </c>
      <c r="D171" s="1" t="s">
        <v>3045</v>
      </c>
      <c r="E171" s="1" t="s">
        <v>4863</v>
      </c>
      <c r="F171" s="1" t="s">
        <v>4873</v>
      </c>
      <c r="G171" s="1" t="s">
        <v>4869</v>
      </c>
      <c r="H171" s="1" t="s">
        <v>4956</v>
      </c>
      <c r="I171" s="1" t="s">
        <v>4896</v>
      </c>
      <c r="J171" s="1" t="s">
        <v>4911</v>
      </c>
    </row>
    <row r="172" spans="3:10" x14ac:dyDescent="0.25">
      <c r="C172" s="1" t="s">
        <v>3047</v>
      </c>
      <c r="D172" s="1" t="s">
        <v>3048</v>
      </c>
      <c r="E172" s="1" t="s">
        <v>4863</v>
      </c>
      <c r="F172" s="1" t="s">
        <v>4873</v>
      </c>
      <c r="G172" s="1" t="s">
        <v>4869</v>
      </c>
      <c r="H172" s="1" t="s">
        <v>4926</v>
      </c>
      <c r="I172" s="1" t="s">
        <v>4896</v>
      </c>
      <c r="J172" s="1" t="s">
        <v>4924</v>
      </c>
    </row>
    <row r="173" spans="3:10" x14ac:dyDescent="0.25">
      <c r="C173" s="31" t="s">
        <v>3057</v>
      </c>
      <c r="D173" s="1" t="s">
        <v>3058</v>
      </c>
      <c r="E173" s="1" t="s">
        <v>4867</v>
      </c>
      <c r="F173" s="1" t="s">
        <v>4875</v>
      </c>
      <c r="G173" s="1" t="s">
        <v>4869</v>
      </c>
      <c r="H173" s="1" t="s">
        <v>4949</v>
      </c>
      <c r="I173" s="1" t="s">
        <v>4896</v>
      </c>
      <c r="J173" s="1" t="s">
        <v>4946</v>
      </c>
    </row>
    <row r="174" spans="3:10" x14ac:dyDescent="0.25">
      <c r="C174" s="1" t="s">
        <v>3054</v>
      </c>
      <c r="D174" s="1" t="s">
        <v>3865</v>
      </c>
      <c r="E174" s="1" t="s">
        <v>4865</v>
      </c>
      <c r="F174" s="1" t="s">
        <v>4875</v>
      </c>
      <c r="G174" s="1" t="s">
        <v>4869</v>
      </c>
      <c r="H174" s="1" t="s">
        <v>4945</v>
      </c>
      <c r="I174" s="1" t="s">
        <v>4896</v>
      </c>
      <c r="J174" s="1" t="s">
        <v>4937</v>
      </c>
    </row>
    <row r="175" spans="3:10" x14ac:dyDescent="0.25">
      <c r="C175" s="1" t="s">
        <v>3065</v>
      </c>
      <c r="D175" s="1" t="s">
        <v>3066</v>
      </c>
      <c r="E175" s="1" t="s">
        <v>4865</v>
      </c>
      <c r="F175" s="1" t="s">
        <v>4874</v>
      </c>
      <c r="G175" s="1" t="s">
        <v>4869</v>
      </c>
      <c r="H175" s="1" t="s">
        <v>4918</v>
      </c>
      <c r="I175" s="1" t="s">
        <v>4896</v>
      </c>
      <c r="J175" s="1" t="s">
        <v>4931</v>
      </c>
    </row>
    <row r="176" spans="3:10" x14ac:dyDescent="0.25">
      <c r="C176" s="1" t="s">
        <v>3077</v>
      </c>
      <c r="D176" s="1" t="s">
        <v>3078</v>
      </c>
      <c r="E176" s="1" t="s">
        <v>4867</v>
      </c>
      <c r="F176" s="1" t="s">
        <v>4875</v>
      </c>
      <c r="G176" s="1" t="s">
        <v>4869</v>
      </c>
      <c r="H176" s="1" t="s">
        <v>4918</v>
      </c>
      <c r="I176" s="1" t="s">
        <v>4896</v>
      </c>
      <c r="J176" s="1" t="s">
        <v>4911</v>
      </c>
    </row>
    <row r="177" spans="3:10" x14ac:dyDescent="0.25">
      <c r="C177" s="1" t="s">
        <v>3513</v>
      </c>
      <c r="D177" s="1" t="s">
        <v>3514</v>
      </c>
      <c r="E177" s="1" t="s">
        <v>4863</v>
      </c>
      <c r="F177" s="1" t="s">
        <v>4874</v>
      </c>
      <c r="G177" s="1" t="s">
        <v>4869</v>
      </c>
      <c r="H177" s="1" t="s">
        <v>4933</v>
      </c>
      <c r="I177" s="1" t="s">
        <v>4896</v>
      </c>
      <c r="J177" s="1" t="s">
        <v>4911</v>
      </c>
    </row>
    <row r="178" spans="3:10" x14ac:dyDescent="0.25">
      <c r="C178" s="1" t="s">
        <v>3523</v>
      </c>
      <c r="D178" s="1" t="s">
        <v>3524</v>
      </c>
      <c r="E178" s="1" t="s">
        <v>4865</v>
      </c>
      <c r="F178" s="1" t="s">
        <v>4874</v>
      </c>
      <c r="G178" s="1" t="s">
        <v>4869</v>
      </c>
      <c r="H178" s="1" t="s">
        <v>4918</v>
      </c>
      <c r="I178" s="1" t="s">
        <v>4896</v>
      </c>
      <c r="J178" s="1" t="s">
        <v>4924</v>
      </c>
    </row>
    <row r="179" spans="3:10" x14ac:dyDescent="0.25">
      <c r="C179" s="1" t="s">
        <v>3534</v>
      </c>
      <c r="D179" s="1" t="s">
        <v>3535</v>
      </c>
      <c r="E179" s="1" t="s">
        <v>4864</v>
      </c>
      <c r="F179" s="1" t="s">
        <v>4875</v>
      </c>
      <c r="G179" s="1" t="s">
        <v>4869</v>
      </c>
      <c r="H179" s="1" t="s">
        <v>4917</v>
      </c>
      <c r="I179" s="1" t="s">
        <v>4896</v>
      </c>
      <c r="J179" s="1" t="s">
        <v>4911</v>
      </c>
    </row>
    <row r="180" spans="3:10" x14ac:dyDescent="0.25">
      <c r="C180" s="1" t="s">
        <v>4158</v>
      </c>
      <c r="D180" s="1" t="s">
        <v>4161</v>
      </c>
      <c r="E180" s="1" t="s">
        <v>4863</v>
      </c>
      <c r="F180" s="1" t="s">
        <v>4873</v>
      </c>
      <c r="G180" s="1" t="s">
        <v>4869</v>
      </c>
      <c r="H180" s="1" t="s">
        <v>5006</v>
      </c>
      <c r="I180" s="1" t="s">
        <v>4896</v>
      </c>
      <c r="J180" s="1" t="s">
        <v>4911</v>
      </c>
    </row>
    <row r="181" spans="3:10" x14ac:dyDescent="0.25">
      <c r="C181" s="1" t="s">
        <v>4199</v>
      </c>
      <c r="D181" s="1" t="s">
        <v>4202</v>
      </c>
      <c r="E181" s="1" t="s">
        <v>4863</v>
      </c>
      <c r="F181" s="1" t="s">
        <v>4873</v>
      </c>
      <c r="G181" s="1" t="s">
        <v>4869</v>
      </c>
      <c r="H181" s="1" t="s">
        <v>5010</v>
      </c>
      <c r="I181" s="1" t="s">
        <v>4896</v>
      </c>
      <c r="J181" s="1" t="s">
        <v>4924</v>
      </c>
    </row>
    <row r="182" spans="3:10" x14ac:dyDescent="0.25">
      <c r="C182" s="1" t="s">
        <v>4310</v>
      </c>
      <c r="D182" s="1" t="s">
        <v>4312</v>
      </c>
      <c r="E182" s="1" t="s">
        <v>4865</v>
      </c>
      <c r="F182" s="1" t="s">
        <v>4874</v>
      </c>
      <c r="G182" s="1" t="s">
        <v>4869</v>
      </c>
      <c r="H182" s="1" t="s">
        <v>5014</v>
      </c>
      <c r="I182" s="1" t="s">
        <v>4896</v>
      </c>
      <c r="J182" s="1" t="s">
        <v>4911</v>
      </c>
    </row>
    <row r="183" spans="3:10" x14ac:dyDescent="0.25">
      <c r="C183" s="1" t="s">
        <v>4416</v>
      </c>
      <c r="D183" s="1" t="s">
        <v>4418</v>
      </c>
      <c r="E183" s="1" t="s">
        <v>4864</v>
      </c>
      <c r="F183" s="1" t="s">
        <v>4874</v>
      </c>
      <c r="G183" s="1" t="s">
        <v>4869</v>
      </c>
      <c r="H183" s="1" t="s">
        <v>4920</v>
      </c>
      <c r="I183" s="1" t="s">
        <v>4896</v>
      </c>
      <c r="J183" s="1" t="s">
        <v>4924</v>
      </c>
    </row>
    <row r="184" spans="3:10" x14ac:dyDescent="0.25">
      <c r="C184" s="1" t="s">
        <v>4457</v>
      </c>
      <c r="D184" s="1" t="s">
        <v>4459</v>
      </c>
      <c r="E184" s="1" t="s">
        <v>4865</v>
      </c>
      <c r="F184" s="1" t="s">
        <v>4873</v>
      </c>
      <c r="G184" s="1" t="s">
        <v>4869</v>
      </c>
      <c r="H184" s="1" t="s">
        <v>4918</v>
      </c>
      <c r="I184" s="1" t="s">
        <v>4896</v>
      </c>
      <c r="J184" s="1" t="s">
        <v>4911</v>
      </c>
    </row>
    <row r="185" spans="3:10" x14ac:dyDescent="0.25">
      <c r="C185" s="1" t="s">
        <v>4560</v>
      </c>
      <c r="D185" s="1" t="s">
        <v>4561</v>
      </c>
      <c r="E185" s="1" t="s">
        <v>4865</v>
      </c>
      <c r="F185" s="1" t="s">
        <v>4875</v>
      </c>
      <c r="G185" s="1" t="s">
        <v>4869</v>
      </c>
      <c r="H185" s="1" t="s">
        <v>3312</v>
      </c>
      <c r="I185" s="1" t="s">
        <v>4896</v>
      </c>
      <c r="J185" s="1" t="s">
        <v>4911</v>
      </c>
    </row>
    <row r="186" spans="3:10" x14ac:dyDescent="0.25">
      <c r="C186" s="1" t="s">
        <v>5029</v>
      </c>
      <c r="D186" s="1" t="s">
        <v>5031</v>
      </c>
      <c r="E186" s="1" t="s">
        <v>4864</v>
      </c>
      <c r="F186" s="1" t="s">
        <v>4875</v>
      </c>
      <c r="G186" s="1" t="s">
        <v>4869</v>
      </c>
      <c r="H186" s="1" t="s">
        <v>4920</v>
      </c>
      <c r="I186" s="1" t="s">
        <v>4896</v>
      </c>
      <c r="J186" s="1" t="s">
        <v>4924</v>
      </c>
    </row>
    <row r="187" spans="3:10" x14ac:dyDescent="0.25">
      <c r="C187" s="1" t="s">
        <v>1546</v>
      </c>
      <c r="D187" s="1" t="s">
        <v>1547</v>
      </c>
      <c r="E187" s="1" t="s">
        <v>4864</v>
      </c>
      <c r="F187" s="1" t="s">
        <v>4875</v>
      </c>
      <c r="G187" s="1" t="s">
        <v>4869</v>
      </c>
      <c r="H187" s="1" t="s">
        <v>5010</v>
      </c>
      <c r="I187" s="1" t="s">
        <v>4896</v>
      </c>
      <c r="J187" s="1" t="s">
        <v>4928</v>
      </c>
    </row>
    <row r="188" spans="3:10" x14ac:dyDescent="0.25">
      <c r="C188" s="1" t="s">
        <v>1959</v>
      </c>
      <c r="D188" s="1" t="s">
        <v>1960</v>
      </c>
      <c r="E188" s="1" t="s">
        <v>4867</v>
      </c>
      <c r="F188" s="1" t="s">
        <v>4875</v>
      </c>
      <c r="G188" s="1" t="s">
        <v>4869</v>
      </c>
      <c r="H188" s="1" t="s">
        <v>4921</v>
      </c>
      <c r="I188" s="1" t="s">
        <v>4896</v>
      </c>
      <c r="J188" s="1" t="s">
        <v>4952</v>
      </c>
    </row>
    <row r="189" spans="3:10" x14ac:dyDescent="0.25">
      <c r="C189" s="1" t="s">
        <v>2018</v>
      </c>
      <c r="D189" s="1" t="s">
        <v>2019</v>
      </c>
      <c r="E189" s="1" t="s">
        <v>4863</v>
      </c>
      <c r="F189" s="1" t="s">
        <v>4875</v>
      </c>
      <c r="G189" s="1" t="s">
        <v>4870</v>
      </c>
      <c r="H189" s="1" t="s">
        <v>4922</v>
      </c>
      <c r="I189" s="1" t="s">
        <v>4896</v>
      </c>
      <c r="J189" s="1" t="s">
        <v>4911</v>
      </c>
    </row>
    <row r="190" spans="3:10" x14ac:dyDescent="0.25">
      <c r="C190" s="1" t="s">
        <v>2197</v>
      </c>
      <c r="D190" s="1" t="s">
        <v>2198</v>
      </c>
      <c r="E190" s="37" t="s">
        <v>4863</v>
      </c>
      <c r="F190" s="37" t="s">
        <v>4874</v>
      </c>
      <c r="G190" s="37" t="s">
        <v>4869</v>
      </c>
      <c r="H190" s="15" t="s">
        <v>4933</v>
      </c>
      <c r="I190" s="37" t="s">
        <v>4896</v>
      </c>
      <c r="J190" s="15" t="s">
        <v>4911</v>
      </c>
    </row>
    <row r="191" spans="3:10" x14ac:dyDescent="0.25">
      <c r="C191" s="1" t="s">
        <v>2751</v>
      </c>
      <c r="D191" s="1" t="s">
        <v>2752</v>
      </c>
      <c r="E191" s="1" t="s">
        <v>4867</v>
      </c>
      <c r="F191" s="1" t="s">
        <v>4875</v>
      </c>
      <c r="G191" s="1" t="s">
        <v>4869</v>
      </c>
      <c r="H191" s="1" t="s">
        <v>4920</v>
      </c>
      <c r="I191" s="1" t="s">
        <v>4896</v>
      </c>
      <c r="J191" s="1" t="s">
        <v>4924</v>
      </c>
    </row>
    <row r="192" spans="3:10" x14ac:dyDescent="0.25">
      <c r="C192" s="1" t="s">
        <v>2762</v>
      </c>
      <c r="D192" s="1" t="s">
        <v>2763</v>
      </c>
      <c r="E192" s="1" t="s">
        <v>4863</v>
      </c>
      <c r="F192" s="1" t="s">
        <v>4873</v>
      </c>
      <c r="G192" s="1" t="s">
        <v>4869</v>
      </c>
      <c r="H192" s="1" t="s">
        <v>4922</v>
      </c>
      <c r="I192" s="1" t="s">
        <v>4896</v>
      </c>
      <c r="J192" s="1" t="s">
        <v>4911</v>
      </c>
    </row>
    <row r="193" spans="3:10" x14ac:dyDescent="0.25">
      <c r="C193" s="1" t="s">
        <v>3081</v>
      </c>
      <c r="D193" s="1" t="s">
        <v>3082</v>
      </c>
      <c r="E193" s="1" t="s">
        <v>4864</v>
      </c>
      <c r="F193" s="1" t="s">
        <v>4875</v>
      </c>
      <c r="G193" s="1" t="s">
        <v>4869</v>
      </c>
      <c r="H193" s="1" t="s">
        <v>5010</v>
      </c>
      <c r="I193" s="1" t="s">
        <v>4896</v>
      </c>
      <c r="J193" s="1" t="s">
        <v>4911</v>
      </c>
    </row>
    <row r="194" spans="3:10" x14ac:dyDescent="0.25">
      <c r="C194" s="1" t="s">
        <v>3092</v>
      </c>
      <c r="D194" s="1" t="s">
        <v>3093</v>
      </c>
      <c r="E194" s="1" t="s">
        <v>4864</v>
      </c>
      <c r="F194" s="1" t="s">
        <v>4875</v>
      </c>
      <c r="G194" s="1" t="s">
        <v>4869</v>
      </c>
      <c r="H194" s="1" t="s">
        <v>4920</v>
      </c>
      <c r="I194" s="37" t="s">
        <v>4896</v>
      </c>
      <c r="J194" s="1" t="s">
        <v>4941</v>
      </c>
    </row>
    <row r="195" spans="3:10" x14ac:dyDescent="0.25">
      <c r="C195" s="1" t="s">
        <v>3539</v>
      </c>
      <c r="D195" s="1" t="s">
        <v>3540</v>
      </c>
      <c r="E195" s="1" t="s">
        <v>4864</v>
      </c>
      <c r="F195" s="1" t="s">
        <v>4875</v>
      </c>
      <c r="G195" s="1" t="s">
        <v>4869</v>
      </c>
      <c r="H195" s="1" t="s">
        <v>4920</v>
      </c>
      <c r="I195" s="1" t="s">
        <v>4896</v>
      </c>
      <c r="J195" s="1" t="s">
        <v>4924</v>
      </c>
    </row>
    <row r="196" spans="3:10" x14ac:dyDescent="0.25">
      <c r="C196" s="1" t="s">
        <v>3834</v>
      </c>
      <c r="D196" s="1" t="s">
        <v>3835</v>
      </c>
      <c r="E196" s="1" t="s">
        <v>4864</v>
      </c>
      <c r="F196" s="1" t="s">
        <v>4875</v>
      </c>
      <c r="G196" s="1" t="s">
        <v>4869</v>
      </c>
      <c r="H196" s="1" t="s">
        <v>5010</v>
      </c>
      <c r="I196" s="1" t="s">
        <v>4896</v>
      </c>
      <c r="J196" s="1" t="s">
        <v>4911</v>
      </c>
    </row>
    <row r="197" spans="3:10" x14ac:dyDescent="0.25">
      <c r="C197" s="1" t="s">
        <v>3881</v>
      </c>
      <c r="D197" s="1" t="s">
        <v>3882</v>
      </c>
      <c r="E197" s="1" t="s">
        <v>4864</v>
      </c>
      <c r="F197" s="1" t="s">
        <v>4875</v>
      </c>
      <c r="G197" s="1" t="s">
        <v>4869</v>
      </c>
      <c r="H197" s="1" t="s">
        <v>5077</v>
      </c>
      <c r="I197" s="1" t="s">
        <v>4896</v>
      </c>
      <c r="J197" s="1" t="s">
        <v>4911</v>
      </c>
    </row>
    <row r="198" spans="3:10" x14ac:dyDescent="0.25">
      <c r="C198" s="1" t="s">
        <v>4151</v>
      </c>
      <c r="D198" s="1" t="s">
        <v>4153</v>
      </c>
      <c r="E198" s="1" t="s">
        <v>4865</v>
      </c>
      <c r="F198" s="1" t="s">
        <v>4874</v>
      </c>
      <c r="G198" s="1" t="s">
        <v>4869</v>
      </c>
      <c r="H198" s="1" t="s">
        <v>4920</v>
      </c>
      <c r="I198" s="1" t="s">
        <v>4896</v>
      </c>
      <c r="J198" s="1" t="s">
        <v>4924</v>
      </c>
    </row>
    <row r="199" spans="3:10" x14ac:dyDescent="0.25">
      <c r="C199" s="1" t="s">
        <v>4305</v>
      </c>
      <c r="D199" s="1" t="s">
        <v>4306</v>
      </c>
      <c r="E199" s="1" t="s">
        <v>4863</v>
      </c>
      <c r="F199" s="1" t="s">
        <v>4873</v>
      </c>
      <c r="G199" s="1" t="s">
        <v>4869</v>
      </c>
      <c r="H199" s="1" t="s">
        <v>4922</v>
      </c>
      <c r="I199" s="1" t="s">
        <v>4896</v>
      </c>
      <c r="J199" s="1" t="s">
        <v>4911</v>
      </c>
    </row>
    <row r="200" spans="3:10" x14ac:dyDescent="0.25">
      <c r="C200" s="1" t="s">
        <v>4593</v>
      </c>
      <c r="D200" s="1" t="s">
        <v>4594</v>
      </c>
      <c r="E200" s="1" t="s">
        <v>4863</v>
      </c>
      <c r="F200" s="1" t="s">
        <v>4875</v>
      </c>
      <c r="G200" s="1" t="s">
        <v>4868</v>
      </c>
      <c r="H200" s="1" t="s">
        <v>5009</v>
      </c>
      <c r="I200" s="1" t="s">
        <v>4896</v>
      </c>
      <c r="J200" s="1" t="s">
        <v>4911</v>
      </c>
    </row>
    <row r="201" spans="3:10" x14ac:dyDescent="0.25">
      <c r="C201" s="1" t="s">
        <v>2778</v>
      </c>
      <c r="D201" s="1" t="s">
        <v>1552</v>
      </c>
      <c r="E201" s="1" t="s">
        <v>4865</v>
      </c>
      <c r="F201" s="1" t="s">
        <v>4875</v>
      </c>
      <c r="G201" s="1" t="s">
        <v>4868</v>
      </c>
      <c r="H201" s="1" t="s">
        <v>5080</v>
      </c>
      <c r="I201" s="1" t="s">
        <v>4896</v>
      </c>
      <c r="J201" s="1" t="s">
        <v>4911</v>
      </c>
    </row>
    <row r="202" spans="3:10" x14ac:dyDescent="0.25">
      <c r="C202" s="1" t="s">
        <v>2777</v>
      </c>
      <c r="D202" s="1" t="s">
        <v>1966</v>
      </c>
      <c r="E202" s="1" t="s">
        <v>4864</v>
      </c>
      <c r="F202" s="1" t="s">
        <v>4875</v>
      </c>
      <c r="G202" s="1" t="s">
        <v>4868</v>
      </c>
      <c r="H202" s="1" t="s">
        <v>4922</v>
      </c>
      <c r="I202" s="1" t="s">
        <v>4896</v>
      </c>
      <c r="J202" s="1" t="s">
        <v>4924</v>
      </c>
    </row>
    <row r="203" spans="3:10" x14ac:dyDescent="0.25">
      <c r="C203" s="1" t="s">
        <v>1976</v>
      </c>
      <c r="D203" s="1" t="s">
        <v>1977</v>
      </c>
      <c r="E203" s="1" t="s">
        <v>4864</v>
      </c>
      <c r="F203" s="1" t="s">
        <v>4874</v>
      </c>
      <c r="G203" s="1" t="s">
        <v>4869</v>
      </c>
      <c r="H203" s="1" t="s">
        <v>4920</v>
      </c>
      <c r="I203" s="1" t="s">
        <v>4896</v>
      </c>
      <c r="J203" s="1" t="s">
        <v>4924</v>
      </c>
    </row>
    <row r="204" spans="3:10" x14ac:dyDescent="0.25">
      <c r="C204" s="1" t="s">
        <v>2776</v>
      </c>
      <c r="D204" s="1" t="s">
        <v>2023</v>
      </c>
      <c r="E204" s="13" t="s">
        <v>4863</v>
      </c>
      <c r="F204" s="1" t="s">
        <v>4875</v>
      </c>
      <c r="G204" s="13" t="s">
        <v>4869</v>
      </c>
      <c r="H204" s="13" t="s">
        <v>4916</v>
      </c>
      <c r="I204" s="1" t="s">
        <v>4896</v>
      </c>
      <c r="J204" s="13" t="s">
        <v>4911</v>
      </c>
    </row>
    <row r="205" spans="3:10" x14ac:dyDescent="0.25">
      <c r="C205" s="1" t="s">
        <v>2440</v>
      </c>
      <c r="D205" s="1" t="s">
        <v>2441</v>
      </c>
      <c r="E205" s="1" t="s">
        <v>4863</v>
      </c>
      <c r="F205" s="1" t="s">
        <v>4874</v>
      </c>
      <c r="G205" s="13" t="s">
        <v>4869</v>
      </c>
      <c r="H205" s="1" t="s">
        <v>4923</v>
      </c>
      <c r="I205" s="1" t="s">
        <v>4896</v>
      </c>
      <c r="J205" s="13" t="s">
        <v>4911</v>
      </c>
    </row>
    <row r="206" spans="3:10" x14ac:dyDescent="0.25">
      <c r="C206" s="1" t="s">
        <v>2446</v>
      </c>
      <c r="D206" s="1" t="s">
        <v>2447</v>
      </c>
      <c r="E206" s="1" t="s">
        <v>4864</v>
      </c>
      <c r="F206" s="1" t="s">
        <v>4873</v>
      </c>
      <c r="G206" s="13" t="s">
        <v>4869</v>
      </c>
      <c r="H206" s="1" t="s">
        <v>4918</v>
      </c>
      <c r="I206" s="1" t="s">
        <v>4896</v>
      </c>
      <c r="J206" s="13" t="s">
        <v>4911</v>
      </c>
    </row>
    <row r="207" spans="3:10" x14ac:dyDescent="0.25">
      <c r="C207" s="1" t="s">
        <v>2450</v>
      </c>
      <c r="D207" s="1" t="s">
        <v>2451</v>
      </c>
      <c r="E207" s="1" t="s">
        <v>4864</v>
      </c>
      <c r="F207" s="1" t="s">
        <v>4875</v>
      </c>
      <c r="G207" s="13" t="s">
        <v>4869</v>
      </c>
      <c r="H207" s="1" t="s">
        <v>4921</v>
      </c>
      <c r="I207" s="1" t="s">
        <v>4896</v>
      </c>
      <c r="J207" s="1" t="s">
        <v>4943</v>
      </c>
    </row>
    <row r="208" spans="3:10" x14ac:dyDescent="0.25">
      <c r="C208" s="1" t="s">
        <v>2463</v>
      </c>
      <c r="D208" s="1" t="s">
        <v>2464</v>
      </c>
      <c r="E208" s="1" t="s">
        <v>4863</v>
      </c>
      <c r="F208" s="1" t="s">
        <v>4875</v>
      </c>
      <c r="G208" s="1" t="s">
        <v>4868</v>
      </c>
      <c r="H208" s="1" t="s">
        <v>4922</v>
      </c>
      <c r="I208" s="1" t="s">
        <v>4896</v>
      </c>
      <c r="J208" s="1" t="s">
        <v>4911</v>
      </c>
    </row>
    <row r="209" spans="3:10" x14ac:dyDescent="0.25">
      <c r="C209" s="1" t="s">
        <v>2474</v>
      </c>
      <c r="D209" s="1" t="s">
        <v>2475</v>
      </c>
      <c r="E209" s="1" t="s">
        <v>4863</v>
      </c>
      <c r="F209" s="1" t="s">
        <v>4873</v>
      </c>
      <c r="G209" s="1" t="s">
        <v>4869</v>
      </c>
      <c r="H209" s="1" t="s">
        <v>4933</v>
      </c>
      <c r="I209" s="1" t="s">
        <v>4896</v>
      </c>
      <c r="J209" s="13" t="s">
        <v>4911</v>
      </c>
    </row>
    <row r="210" spans="3:10" x14ac:dyDescent="0.25">
      <c r="C210" s="1" t="s">
        <v>3104</v>
      </c>
      <c r="D210" s="1" t="s">
        <v>3105</v>
      </c>
      <c r="E210" s="1" t="s">
        <v>4863</v>
      </c>
      <c r="F210" s="1" t="s">
        <v>4874</v>
      </c>
      <c r="G210" s="1" t="s">
        <v>4869</v>
      </c>
      <c r="H210" s="1" t="s">
        <v>4923</v>
      </c>
      <c r="I210" s="1" t="s">
        <v>4896</v>
      </c>
      <c r="J210" s="1" t="s">
        <v>4924</v>
      </c>
    </row>
    <row r="211" spans="3:10" x14ac:dyDescent="0.25">
      <c r="C211" s="1" t="s">
        <v>4009</v>
      </c>
      <c r="D211" s="1" t="s">
        <v>3548</v>
      </c>
      <c r="E211" s="1" t="s">
        <v>4863</v>
      </c>
      <c r="F211" s="1" t="s">
        <v>4874</v>
      </c>
      <c r="G211" s="1" t="s">
        <v>4868</v>
      </c>
      <c r="H211" s="1" t="s">
        <v>4948</v>
      </c>
      <c r="I211" s="1" t="s">
        <v>4896</v>
      </c>
      <c r="J211" s="1" t="s">
        <v>4911</v>
      </c>
    </row>
    <row r="212" spans="3:10" x14ac:dyDescent="0.25">
      <c r="C212" t="s">
        <v>3674</v>
      </c>
      <c r="D212" s="1" t="s">
        <v>3673</v>
      </c>
      <c r="E212" s="1" t="s">
        <v>4865</v>
      </c>
      <c r="F212" s="1" t="s">
        <v>4874</v>
      </c>
      <c r="G212" s="1" t="s">
        <v>4869</v>
      </c>
      <c r="H212" s="1" t="s">
        <v>4920</v>
      </c>
      <c r="I212" s="1" t="s">
        <v>4896</v>
      </c>
      <c r="J212" s="1" t="s">
        <v>4924</v>
      </c>
    </row>
    <row r="213" spans="3:10" x14ac:dyDescent="0.25">
      <c r="C213" s="1" t="s">
        <v>4027</v>
      </c>
      <c r="D213" s="1" t="s">
        <v>4028</v>
      </c>
      <c r="E213" s="1" t="s">
        <v>4865</v>
      </c>
      <c r="F213" s="1" t="s">
        <v>4874</v>
      </c>
      <c r="G213" s="1" t="s">
        <v>4869</v>
      </c>
      <c r="H213" s="1" t="s">
        <v>2297</v>
      </c>
      <c r="I213" s="1" t="s">
        <v>4896</v>
      </c>
      <c r="J213" s="1" t="s">
        <v>4924</v>
      </c>
    </row>
    <row r="214" spans="3:10" x14ac:dyDescent="0.25">
      <c r="C214" s="1" t="s">
        <v>4208</v>
      </c>
      <c r="D214" s="1" t="s">
        <v>2069</v>
      </c>
      <c r="E214" s="1" t="s">
        <v>4867</v>
      </c>
      <c r="F214" s="1" t="s">
        <v>4875</v>
      </c>
      <c r="G214" s="1" t="s">
        <v>4869</v>
      </c>
      <c r="H214" s="1" t="s">
        <v>4920</v>
      </c>
      <c r="I214" s="1" t="s">
        <v>4896</v>
      </c>
      <c r="J214" s="1" t="s">
        <v>4924</v>
      </c>
    </row>
    <row r="215" spans="3:10" x14ac:dyDescent="0.25">
      <c r="C215" s="1" t="s">
        <v>4243</v>
      </c>
      <c r="D215" s="1" t="s">
        <v>4244</v>
      </c>
      <c r="E215" s="1" t="s">
        <v>4865</v>
      </c>
      <c r="F215" s="1" t="s">
        <v>4873</v>
      </c>
      <c r="G215" s="1" t="s">
        <v>4869</v>
      </c>
      <c r="H215" s="1" t="s">
        <v>4916</v>
      </c>
      <c r="I215" s="1" t="s">
        <v>4896</v>
      </c>
      <c r="J215" s="1" t="s">
        <v>4911</v>
      </c>
    </row>
    <row r="216" spans="3:10" x14ac:dyDescent="0.25">
      <c r="C216" s="1" t="s">
        <v>4393</v>
      </c>
      <c r="D216" s="1" t="s">
        <v>4395</v>
      </c>
      <c r="E216" s="1" t="s">
        <v>4865</v>
      </c>
      <c r="F216" s="1" t="s">
        <v>4874</v>
      </c>
      <c r="G216" s="1" t="s">
        <v>4869</v>
      </c>
      <c r="H216" s="1" t="s">
        <v>4920</v>
      </c>
      <c r="I216" s="1" t="s">
        <v>4896</v>
      </c>
      <c r="J216" s="1" t="s">
        <v>4924</v>
      </c>
    </row>
    <row r="217" spans="3:10" x14ac:dyDescent="0.25">
      <c r="C217" s="1" t="s">
        <v>4405</v>
      </c>
      <c r="D217" s="1" t="s">
        <v>4407</v>
      </c>
      <c r="E217" s="1" t="s">
        <v>4867</v>
      </c>
      <c r="F217" s="1" t="s">
        <v>4875</v>
      </c>
      <c r="G217" s="1" t="s">
        <v>4869</v>
      </c>
      <c r="H217" s="1" t="s">
        <v>4920</v>
      </c>
      <c r="I217" s="1" t="s">
        <v>4896</v>
      </c>
      <c r="J217" s="1" t="s">
        <v>4931</v>
      </c>
    </row>
    <row r="218" spans="3:10" x14ac:dyDescent="0.25">
      <c r="C218" t="s">
        <v>4579</v>
      </c>
      <c r="D218" s="1" t="s">
        <v>4578</v>
      </c>
      <c r="E218" s="1" t="s">
        <v>4863</v>
      </c>
      <c r="F218" s="1" t="s">
        <v>4874</v>
      </c>
      <c r="G218" s="1" t="s">
        <v>4871</v>
      </c>
      <c r="H218" s="1" t="s">
        <v>5023</v>
      </c>
      <c r="I218" s="1" t="s">
        <v>4896</v>
      </c>
      <c r="J218" s="1" t="s">
        <v>5008</v>
      </c>
    </row>
    <row r="219" spans="3:10" x14ac:dyDescent="0.25">
      <c r="C219" s="1" t="s">
        <v>2479</v>
      </c>
      <c r="D219" s="1" t="s">
        <v>2480</v>
      </c>
      <c r="E219" s="1" t="s">
        <v>4863</v>
      </c>
      <c r="F219" s="1" t="s">
        <v>4872</v>
      </c>
      <c r="G219" s="1" t="s">
        <v>4869</v>
      </c>
      <c r="H219" s="1" t="s">
        <v>4933</v>
      </c>
      <c r="I219" s="1" t="s">
        <v>4896</v>
      </c>
      <c r="J219" s="1" t="s">
        <v>4911</v>
      </c>
    </row>
    <row r="220" spans="3:10" x14ac:dyDescent="0.25">
      <c r="C220" s="1" t="s">
        <v>3108</v>
      </c>
      <c r="D220" s="1" t="s">
        <v>3109</v>
      </c>
      <c r="E220" s="1" t="s">
        <v>4863</v>
      </c>
      <c r="F220" s="1" t="s">
        <v>4872</v>
      </c>
      <c r="G220" s="1" t="s">
        <v>4869</v>
      </c>
      <c r="H220" s="1" t="s">
        <v>4933</v>
      </c>
      <c r="I220" s="1" t="s">
        <v>4896</v>
      </c>
      <c r="J220" s="1" t="s">
        <v>4911</v>
      </c>
    </row>
    <row r="221" spans="3:10" x14ac:dyDescent="0.25">
      <c r="C221" s="1" t="s">
        <v>3112</v>
      </c>
      <c r="D221" s="1" t="s">
        <v>1483</v>
      </c>
      <c r="E221" s="1" t="s">
        <v>4864</v>
      </c>
      <c r="F221" s="1" t="s">
        <v>4875</v>
      </c>
      <c r="G221" s="1" t="s">
        <v>4869</v>
      </c>
      <c r="H221" s="1" t="s">
        <v>5013</v>
      </c>
      <c r="I221" s="1" t="s">
        <v>4896</v>
      </c>
      <c r="J221" s="1" t="s">
        <v>4911</v>
      </c>
    </row>
    <row r="222" spans="3:10" x14ac:dyDescent="0.25">
      <c r="C222" s="1" t="s">
        <v>3122</v>
      </c>
      <c r="D222" s="1" t="s">
        <v>3123</v>
      </c>
      <c r="E222" s="1" t="s">
        <v>4863</v>
      </c>
      <c r="F222" s="1" t="s">
        <v>4872</v>
      </c>
      <c r="G222" s="1" t="s">
        <v>4869</v>
      </c>
      <c r="H222" s="1" t="s">
        <v>4933</v>
      </c>
      <c r="I222" s="1" t="s">
        <v>4896</v>
      </c>
      <c r="J222" s="1" t="s">
        <v>4911</v>
      </c>
    </row>
    <row r="223" spans="3:10" x14ac:dyDescent="0.25">
      <c r="C223" s="1" t="s">
        <v>3125</v>
      </c>
      <c r="D223" s="1" t="s">
        <v>3126</v>
      </c>
      <c r="E223" s="1" t="s">
        <v>4863</v>
      </c>
      <c r="F223" s="1" t="s">
        <v>4872</v>
      </c>
      <c r="G223" s="1" t="s">
        <v>4869</v>
      </c>
      <c r="H223" s="1" t="s">
        <v>4933</v>
      </c>
      <c r="I223" s="1" t="s">
        <v>4896</v>
      </c>
      <c r="J223" s="1" t="s">
        <v>4911</v>
      </c>
    </row>
    <row r="224" spans="3:10" x14ac:dyDescent="0.25">
      <c r="C224" s="1" t="s">
        <v>3552</v>
      </c>
      <c r="D224" s="1" t="s">
        <v>3553</v>
      </c>
      <c r="E224" s="1" t="s">
        <v>4867</v>
      </c>
      <c r="F224" s="1" t="s">
        <v>4875</v>
      </c>
      <c r="G224" s="1" t="s">
        <v>4869</v>
      </c>
      <c r="H224" s="1" t="s">
        <v>4921</v>
      </c>
      <c r="I224" s="1" t="s">
        <v>4896</v>
      </c>
      <c r="J224" s="1" t="s">
        <v>4928</v>
      </c>
    </row>
    <row r="225" spans="3:10" x14ac:dyDescent="0.25">
      <c r="C225" s="1" t="s">
        <v>3557</v>
      </c>
      <c r="D225" s="1" t="s">
        <v>3558</v>
      </c>
      <c r="E225" s="1" t="s">
        <v>4865</v>
      </c>
      <c r="F225" s="1" t="s">
        <v>4875</v>
      </c>
      <c r="G225" s="1" t="s">
        <v>4869</v>
      </c>
      <c r="H225" s="1" t="s">
        <v>5080</v>
      </c>
      <c r="I225" s="1" t="s">
        <v>4896</v>
      </c>
      <c r="J225" s="1" t="s">
        <v>4911</v>
      </c>
    </row>
    <row r="226" spans="3:10" x14ac:dyDescent="0.25">
      <c r="C226" s="1" t="s">
        <v>3567</v>
      </c>
      <c r="D226" s="1" t="s">
        <v>3568</v>
      </c>
      <c r="E226" s="1" t="s">
        <v>4867</v>
      </c>
      <c r="F226" s="1" t="s">
        <v>4875</v>
      </c>
      <c r="G226" s="1" t="s">
        <v>4869</v>
      </c>
      <c r="H226" s="1" t="s">
        <v>4920</v>
      </c>
      <c r="I226" s="1" t="s">
        <v>4896</v>
      </c>
      <c r="J226" s="1" t="s">
        <v>4924</v>
      </c>
    </row>
    <row r="227" spans="3:10" x14ac:dyDescent="0.25">
      <c r="C227" s="1" t="s">
        <v>4734</v>
      </c>
      <c r="D227" s="1" t="s">
        <v>4736</v>
      </c>
      <c r="E227" s="1" t="s">
        <v>4863</v>
      </c>
      <c r="F227" s="1" t="s">
        <v>4872</v>
      </c>
      <c r="G227" s="1" t="s">
        <v>4869</v>
      </c>
      <c r="H227" s="1" t="s">
        <v>4933</v>
      </c>
      <c r="I227" s="1" t="s">
        <v>4896</v>
      </c>
      <c r="J227" s="1" t="s">
        <v>4911</v>
      </c>
    </row>
    <row r="228" spans="3:10" x14ac:dyDescent="0.25">
      <c r="C228" s="1" t="s">
        <v>1565</v>
      </c>
      <c r="D228" s="1" t="s">
        <v>1567</v>
      </c>
      <c r="E228" s="1" t="s">
        <v>4867</v>
      </c>
      <c r="F228" s="1" t="s">
        <v>4875</v>
      </c>
      <c r="G228" s="1" t="s">
        <v>4869</v>
      </c>
      <c r="H228" s="1" t="s">
        <v>4921</v>
      </c>
      <c r="I228" s="1" t="s">
        <v>4896</v>
      </c>
      <c r="J228" s="1" t="s">
        <v>4952</v>
      </c>
    </row>
    <row r="229" spans="3:10" x14ac:dyDescent="0.25">
      <c r="C229" s="1" t="s">
        <v>3130</v>
      </c>
      <c r="D229" s="1" t="s">
        <v>3131</v>
      </c>
      <c r="E229" s="1" t="s">
        <v>4865</v>
      </c>
      <c r="F229" s="1" t="s">
        <v>4875</v>
      </c>
      <c r="G229" s="1" t="s">
        <v>4869</v>
      </c>
      <c r="H229" s="1" t="s">
        <v>5010</v>
      </c>
      <c r="I229" s="1" t="s">
        <v>4896</v>
      </c>
      <c r="J229" s="1" t="s">
        <v>4911</v>
      </c>
    </row>
    <row r="230" spans="3:10" x14ac:dyDescent="0.25">
      <c r="C230" s="1" t="s">
        <v>3576</v>
      </c>
      <c r="D230" s="1" t="s">
        <v>3577</v>
      </c>
      <c r="E230" s="1" t="s">
        <v>4865</v>
      </c>
      <c r="F230" s="1" t="s">
        <v>4873</v>
      </c>
      <c r="G230" s="1" t="s">
        <v>4869</v>
      </c>
      <c r="H230" s="1" t="s">
        <v>4917</v>
      </c>
      <c r="I230" s="1" t="s">
        <v>4896</v>
      </c>
      <c r="J230" s="1" t="s">
        <v>4911</v>
      </c>
    </row>
    <row r="231" spans="3:10" x14ac:dyDescent="0.25">
      <c r="C231" s="1" t="s">
        <v>3839</v>
      </c>
      <c r="D231" s="1" t="s">
        <v>3840</v>
      </c>
      <c r="E231" s="1" t="s">
        <v>4867</v>
      </c>
      <c r="F231" s="1" t="s">
        <v>4875</v>
      </c>
      <c r="G231" s="1" t="s">
        <v>4869</v>
      </c>
      <c r="H231" s="1" t="s">
        <v>4917</v>
      </c>
      <c r="I231" s="1" t="s">
        <v>4896</v>
      </c>
      <c r="J231" s="1" t="s">
        <v>4924</v>
      </c>
    </row>
    <row r="232" spans="3:10" x14ac:dyDescent="0.25">
      <c r="C232" s="1" t="s">
        <v>4379</v>
      </c>
      <c r="D232" s="1" t="s">
        <v>4381</v>
      </c>
      <c r="E232" s="1" t="s">
        <v>4865</v>
      </c>
      <c r="F232" s="1" t="s">
        <v>4873</v>
      </c>
      <c r="G232" s="1" t="s">
        <v>4869</v>
      </c>
      <c r="H232" s="1" t="s">
        <v>4926</v>
      </c>
      <c r="I232" s="1" t="s">
        <v>4896</v>
      </c>
      <c r="J232" s="1" t="s">
        <v>4911</v>
      </c>
    </row>
    <row r="233" spans="3:10" x14ac:dyDescent="0.25">
      <c r="C233" s="1" t="s">
        <v>1577</v>
      </c>
      <c r="D233" s="1" t="s">
        <v>1578</v>
      </c>
      <c r="E233" s="1" t="s">
        <v>4864</v>
      </c>
      <c r="F233" s="1" t="s">
        <v>4875</v>
      </c>
      <c r="G233" s="1" t="s">
        <v>4869</v>
      </c>
      <c r="H233" s="1" t="s">
        <v>4923</v>
      </c>
      <c r="I233" s="1" t="s">
        <v>4896</v>
      </c>
      <c r="J233" s="1" t="s">
        <v>4924</v>
      </c>
    </row>
    <row r="234" spans="3:10" x14ac:dyDescent="0.25">
      <c r="C234" s="1" t="s">
        <v>1790</v>
      </c>
      <c r="D234" s="1" t="s">
        <v>1791</v>
      </c>
      <c r="E234" s="1" t="s">
        <v>4865</v>
      </c>
      <c r="F234" s="1" t="s">
        <v>4874</v>
      </c>
      <c r="G234" s="1" t="s">
        <v>4869</v>
      </c>
      <c r="H234" s="1" t="s">
        <v>4953</v>
      </c>
      <c r="I234" s="1" t="s">
        <v>4896</v>
      </c>
      <c r="J234" s="1" t="s">
        <v>4911</v>
      </c>
    </row>
    <row r="235" spans="3:10" x14ac:dyDescent="0.25">
      <c r="C235" s="1" t="s">
        <v>4037</v>
      </c>
      <c r="D235" s="1" t="s">
        <v>3138</v>
      </c>
      <c r="E235" s="1" t="s">
        <v>4863</v>
      </c>
      <c r="F235" s="1" t="s">
        <v>4872</v>
      </c>
      <c r="G235" s="1" t="s">
        <v>4869</v>
      </c>
      <c r="H235" s="1" t="s">
        <v>4933</v>
      </c>
      <c r="I235" s="1" t="s">
        <v>4896</v>
      </c>
      <c r="J235" s="1" t="s">
        <v>4911</v>
      </c>
    </row>
    <row r="236" spans="3:10" x14ac:dyDescent="0.25">
      <c r="C236" s="1" t="s">
        <v>3147</v>
      </c>
      <c r="D236" s="1" t="s">
        <v>3148</v>
      </c>
      <c r="E236" s="1" t="s">
        <v>4865</v>
      </c>
      <c r="F236" s="1" t="s">
        <v>4875</v>
      </c>
      <c r="G236" s="1" t="s">
        <v>4869</v>
      </c>
      <c r="H236" s="1" t="s">
        <v>5063</v>
      </c>
      <c r="I236" s="1" t="s">
        <v>4896</v>
      </c>
      <c r="J236" s="1" t="s">
        <v>4911</v>
      </c>
    </row>
    <row r="237" spans="3:10" x14ac:dyDescent="0.25">
      <c r="C237" s="1" t="s">
        <v>3155</v>
      </c>
      <c r="D237" s="1" t="s">
        <v>3158</v>
      </c>
      <c r="E237" s="1" t="s">
        <v>4863</v>
      </c>
      <c r="F237" s="1" t="s">
        <v>4873</v>
      </c>
      <c r="G237" s="1" t="s">
        <v>4869</v>
      </c>
      <c r="H237" s="1" t="s">
        <v>4933</v>
      </c>
      <c r="I237" s="1" t="s">
        <v>4896</v>
      </c>
      <c r="J237" s="1" t="s">
        <v>4914</v>
      </c>
    </row>
    <row r="238" spans="3:10" x14ac:dyDescent="0.25">
      <c r="C238" s="1" t="s">
        <v>3160</v>
      </c>
      <c r="D238" s="1" t="s">
        <v>3162</v>
      </c>
      <c r="E238" s="1" t="s">
        <v>4865</v>
      </c>
      <c r="F238" s="1" t="s">
        <v>4874</v>
      </c>
      <c r="G238" s="1" t="s">
        <v>4869</v>
      </c>
      <c r="H238" s="1" t="s">
        <v>4918</v>
      </c>
      <c r="I238" s="1" t="s">
        <v>4896</v>
      </c>
      <c r="J238" s="1" t="s">
        <v>4911</v>
      </c>
    </row>
    <row r="239" spans="3:10" x14ac:dyDescent="0.25">
      <c r="C239" s="1" t="s">
        <v>4233</v>
      </c>
      <c r="D239" s="1" t="s">
        <v>4234</v>
      </c>
      <c r="E239" s="1" t="s">
        <v>4863</v>
      </c>
      <c r="F239" s="1" t="s">
        <v>4872</v>
      </c>
      <c r="G239" s="1" t="s">
        <v>4869</v>
      </c>
      <c r="H239" s="1" t="s">
        <v>5009</v>
      </c>
      <c r="I239" s="1" t="s">
        <v>4896</v>
      </c>
      <c r="J239" s="1" t="s">
        <v>4911</v>
      </c>
    </row>
    <row r="240" spans="3:10" x14ac:dyDescent="0.25">
      <c r="C240" s="1" t="s">
        <v>4739</v>
      </c>
      <c r="D240" s="1" t="s">
        <v>4740</v>
      </c>
      <c r="E240" s="1" t="s">
        <v>4863</v>
      </c>
      <c r="F240" s="1" t="s">
        <v>4874</v>
      </c>
      <c r="G240" s="1" t="s">
        <v>4869</v>
      </c>
      <c r="H240" s="1" t="s">
        <v>4925</v>
      </c>
      <c r="I240" s="1" t="s">
        <v>4896</v>
      </c>
      <c r="J240" s="1" t="s">
        <v>4911</v>
      </c>
    </row>
    <row r="241" spans="3:10" x14ac:dyDescent="0.25">
      <c r="C241" s="1" t="s">
        <v>4748</v>
      </c>
      <c r="D241" s="1" t="s">
        <v>1398</v>
      </c>
      <c r="E241" s="1" t="s">
        <v>4865</v>
      </c>
      <c r="F241" s="1" t="s">
        <v>4874</v>
      </c>
      <c r="G241" s="1" t="s">
        <v>4869</v>
      </c>
      <c r="H241" s="1" t="s">
        <v>4949</v>
      </c>
      <c r="I241" s="1" t="s">
        <v>4896</v>
      </c>
      <c r="J241" s="1" t="s">
        <v>4911</v>
      </c>
    </row>
    <row r="242" spans="3:10" x14ac:dyDescent="0.25">
      <c r="C242" s="1" t="s">
        <v>4757</v>
      </c>
      <c r="D242" s="1" t="s">
        <v>2117</v>
      </c>
      <c r="E242" s="1" t="s">
        <v>4863</v>
      </c>
      <c r="F242" s="1" t="s">
        <v>4872</v>
      </c>
      <c r="G242" s="1" t="s">
        <v>4869</v>
      </c>
      <c r="H242" s="1" t="s">
        <v>4933</v>
      </c>
      <c r="I242" s="1" t="s">
        <v>4896</v>
      </c>
      <c r="J242" s="1" t="s">
        <v>4911</v>
      </c>
    </row>
    <row r="243" spans="3:10" x14ac:dyDescent="0.25">
      <c r="C243" s="1" t="s">
        <v>4990</v>
      </c>
      <c r="D243" s="1" t="s">
        <v>4992</v>
      </c>
      <c r="E243" s="1" t="s">
        <v>4867</v>
      </c>
      <c r="F243" s="1" t="s">
        <v>4875</v>
      </c>
      <c r="G243" s="1" t="s">
        <v>4869</v>
      </c>
      <c r="H243" s="1" t="s">
        <v>4918</v>
      </c>
      <c r="I243" s="1" t="s">
        <v>4896</v>
      </c>
      <c r="J243" s="1" t="s">
        <v>4941</v>
      </c>
    </row>
    <row r="244" spans="3:10" x14ac:dyDescent="0.25">
      <c r="C244" s="1" t="s">
        <v>1582</v>
      </c>
      <c r="D244" s="1" t="s">
        <v>1583</v>
      </c>
      <c r="E244" s="1" t="s">
        <v>4863</v>
      </c>
      <c r="F244" s="1" t="s">
        <v>4873</v>
      </c>
      <c r="G244" s="1" t="s">
        <v>4869</v>
      </c>
      <c r="H244" s="1" t="s">
        <v>4918</v>
      </c>
      <c r="I244" s="1" t="s">
        <v>4896</v>
      </c>
      <c r="J244" s="1" t="s">
        <v>4911</v>
      </c>
    </row>
    <row r="245" spans="3:10" x14ac:dyDescent="0.25">
      <c r="C245" s="1" t="s">
        <v>1987</v>
      </c>
      <c r="D245" s="1" t="s">
        <v>1988</v>
      </c>
      <c r="E245" s="1" t="s">
        <v>4865</v>
      </c>
      <c r="F245" s="1" t="s">
        <v>4874</v>
      </c>
      <c r="G245" s="1" t="s">
        <v>4869</v>
      </c>
      <c r="H245" s="1" t="s">
        <v>4920</v>
      </c>
      <c r="I245" s="1" t="s">
        <v>4896</v>
      </c>
      <c r="J245" s="1" t="s">
        <v>4911</v>
      </c>
    </row>
    <row r="246" spans="3:10" x14ac:dyDescent="0.25">
      <c r="C246" s="1" t="s">
        <v>2503</v>
      </c>
      <c r="D246" s="1" t="s">
        <v>1994</v>
      </c>
      <c r="E246" s="1" t="s">
        <v>4865</v>
      </c>
      <c r="F246" s="1" t="s">
        <v>4873</v>
      </c>
      <c r="G246" s="1" t="s">
        <v>4869</v>
      </c>
      <c r="H246" s="1" t="s">
        <v>4933</v>
      </c>
      <c r="I246" s="1" t="s">
        <v>4896</v>
      </c>
      <c r="J246" s="1" t="s">
        <v>4911</v>
      </c>
    </row>
    <row r="247" spans="3:10" x14ac:dyDescent="0.25">
      <c r="C247" s="1" t="s">
        <v>2504</v>
      </c>
      <c r="D247" s="1" t="s">
        <v>2505</v>
      </c>
      <c r="E247" s="1" t="s">
        <v>4864</v>
      </c>
      <c r="F247" s="1" t="s">
        <v>4875</v>
      </c>
      <c r="G247" s="1" t="s">
        <v>4869</v>
      </c>
      <c r="H247" s="1" t="s">
        <v>4921</v>
      </c>
      <c r="I247" s="1" t="s">
        <v>4896</v>
      </c>
      <c r="J247" s="1" t="s">
        <v>4911</v>
      </c>
    </row>
    <row r="248" spans="3:10" x14ac:dyDescent="0.25">
      <c r="C248" s="1" t="s">
        <v>2517</v>
      </c>
      <c r="D248" s="1" t="s">
        <v>2518</v>
      </c>
      <c r="E248" s="1" t="s">
        <v>4865</v>
      </c>
      <c r="F248" s="1" t="s">
        <v>4875</v>
      </c>
      <c r="G248" s="1" t="s">
        <v>4869</v>
      </c>
      <c r="H248" s="1" t="s">
        <v>4945</v>
      </c>
      <c r="I248" s="1" t="s">
        <v>4896</v>
      </c>
      <c r="J248" s="1" t="s">
        <v>4946</v>
      </c>
    </row>
    <row r="249" spans="3:10" x14ac:dyDescent="0.25">
      <c r="C249" s="31" t="s">
        <v>2522</v>
      </c>
      <c r="D249" s="1" t="s">
        <v>2523</v>
      </c>
      <c r="E249" s="1" t="s">
        <v>4864</v>
      </c>
      <c r="F249" s="1" t="s">
        <v>4875</v>
      </c>
      <c r="G249" s="1" t="s">
        <v>4869</v>
      </c>
      <c r="H249" s="1" t="s">
        <v>4921</v>
      </c>
      <c r="I249" s="1" t="s">
        <v>4896</v>
      </c>
      <c r="J249" s="1" t="s">
        <v>4924</v>
      </c>
    </row>
    <row r="250" spans="3:10" x14ac:dyDescent="0.25">
      <c r="C250" s="1" t="s">
        <v>2530</v>
      </c>
      <c r="D250" s="1" t="s">
        <v>2531</v>
      </c>
      <c r="E250" s="1" t="s">
        <v>4864</v>
      </c>
      <c r="F250" s="1" t="s">
        <v>4874</v>
      </c>
      <c r="G250" s="1" t="s">
        <v>4869</v>
      </c>
      <c r="H250" s="1" t="s">
        <v>4947</v>
      </c>
      <c r="I250" s="1" t="s">
        <v>4896</v>
      </c>
      <c r="J250" s="1" t="s">
        <v>4911</v>
      </c>
    </row>
    <row r="251" spans="3:10" x14ac:dyDescent="0.25">
      <c r="C251" s="1" t="s">
        <v>2535</v>
      </c>
      <c r="D251" s="1" t="s">
        <v>2536</v>
      </c>
      <c r="E251" s="1" t="s">
        <v>4865</v>
      </c>
      <c r="F251" s="1" t="s">
        <v>4874</v>
      </c>
      <c r="G251" s="1" t="s">
        <v>4869</v>
      </c>
      <c r="H251" s="1" t="s">
        <v>4925</v>
      </c>
      <c r="I251" s="1" t="s">
        <v>4896</v>
      </c>
      <c r="J251" s="1" t="s">
        <v>4911</v>
      </c>
    </row>
    <row r="252" spans="3:10" x14ac:dyDescent="0.25">
      <c r="C252" s="1" t="s">
        <v>2779</v>
      </c>
      <c r="D252" s="1" t="s">
        <v>2545</v>
      </c>
      <c r="E252" s="1" t="s">
        <v>4864</v>
      </c>
      <c r="F252" s="1" t="s">
        <v>4875</v>
      </c>
      <c r="G252" s="1" t="s">
        <v>4869</v>
      </c>
      <c r="H252" s="1" t="s">
        <v>4923</v>
      </c>
      <c r="I252" s="1" t="s">
        <v>4896</v>
      </c>
      <c r="J252" s="1" t="s">
        <v>4946</v>
      </c>
    </row>
    <row r="253" spans="3:10" x14ac:dyDescent="0.25">
      <c r="C253" s="1" t="s">
        <v>2554</v>
      </c>
      <c r="D253" s="1" t="s">
        <v>2555</v>
      </c>
      <c r="E253" s="1" t="s">
        <v>4863</v>
      </c>
      <c r="F253" s="1" t="s">
        <v>4873</v>
      </c>
      <c r="G253" s="1" t="s">
        <v>4869</v>
      </c>
      <c r="H253" s="1" t="s">
        <v>4933</v>
      </c>
      <c r="I253" s="1" t="s">
        <v>4896</v>
      </c>
      <c r="J253" s="1" t="s">
        <v>4911</v>
      </c>
    </row>
    <row r="254" spans="3:10" x14ac:dyDescent="0.25">
      <c r="C254" s="1" t="s">
        <v>2562</v>
      </c>
      <c r="D254" s="1" t="s">
        <v>2563</v>
      </c>
      <c r="E254" s="1" t="s">
        <v>4863</v>
      </c>
      <c r="F254" s="1" t="s">
        <v>4875</v>
      </c>
      <c r="G254" s="1" t="s">
        <v>4868</v>
      </c>
      <c r="H254" s="1" t="s">
        <v>4948</v>
      </c>
      <c r="I254" s="1" t="s">
        <v>4896</v>
      </c>
      <c r="J254" s="1" t="s">
        <v>4943</v>
      </c>
    </row>
    <row r="255" spans="3:10" x14ac:dyDescent="0.25">
      <c r="C255" s="1" t="s">
        <v>2567</v>
      </c>
      <c r="D255" s="1" t="s">
        <v>2568</v>
      </c>
      <c r="E255" s="1" t="s">
        <v>4863</v>
      </c>
      <c r="F255" s="1" t="s">
        <v>4875</v>
      </c>
      <c r="G255" s="1" t="s">
        <v>4868</v>
      </c>
      <c r="H255" s="1" t="s">
        <v>4948</v>
      </c>
      <c r="I255" s="1" t="s">
        <v>4896</v>
      </c>
      <c r="J255" s="1" t="s">
        <v>4911</v>
      </c>
    </row>
    <row r="256" spans="3:10" x14ac:dyDescent="0.25">
      <c r="C256" s="1" t="s">
        <v>3167</v>
      </c>
      <c r="D256" s="1" t="s">
        <v>3168</v>
      </c>
      <c r="E256" s="1" t="s">
        <v>4863</v>
      </c>
      <c r="F256" s="1" t="s">
        <v>4872</v>
      </c>
      <c r="G256" s="1" t="s">
        <v>4869</v>
      </c>
      <c r="H256" s="1" t="s">
        <v>4933</v>
      </c>
      <c r="I256" s="1" t="s">
        <v>4896</v>
      </c>
      <c r="J256" s="1" t="s">
        <v>4911</v>
      </c>
    </row>
    <row r="257" spans="3:10" x14ac:dyDescent="0.25">
      <c r="C257" s="1" t="s">
        <v>3183</v>
      </c>
      <c r="D257" s="1" t="s">
        <v>3184</v>
      </c>
      <c r="E257" s="1" t="s">
        <v>4867</v>
      </c>
      <c r="F257" s="1" t="s">
        <v>4875</v>
      </c>
      <c r="G257" s="1" t="s">
        <v>4869</v>
      </c>
      <c r="H257" s="1" t="s">
        <v>4923</v>
      </c>
      <c r="I257" s="1" t="s">
        <v>4896</v>
      </c>
      <c r="J257" s="1" t="s">
        <v>4924</v>
      </c>
    </row>
    <row r="258" spans="3:10" x14ac:dyDescent="0.25">
      <c r="C258" s="1" t="s">
        <v>3173</v>
      </c>
      <c r="D258" s="1" t="s">
        <v>3172</v>
      </c>
      <c r="E258" s="1" t="s">
        <v>4863</v>
      </c>
      <c r="F258" s="1" t="s">
        <v>4873</v>
      </c>
      <c r="G258" s="1" t="s">
        <v>4869</v>
      </c>
      <c r="H258" s="1" t="s">
        <v>5010</v>
      </c>
      <c r="I258" s="1" t="s">
        <v>4896</v>
      </c>
      <c r="J258" s="1" t="s">
        <v>4911</v>
      </c>
    </row>
    <row r="259" spans="3:10" x14ac:dyDescent="0.25">
      <c r="C259" s="1" t="s">
        <v>2562</v>
      </c>
      <c r="D259" s="1" t="s">
        <v>2563</v>
      </c>
      <c r="E259" s="1" t="s">
        <v>4863</v>
      </c>
      <c r="F259" s="1" t="s">
        <v>4875</v>
      </c>
      <c r="G259" s="1" t="s">
        <v>4868</v>
      </c>
      <c r="H259" s="1" t="s">
        <v>4948</v>
      </c>
      <c r="I259" s="1" t="s">
        <v>4896</v>
      </c>
      <c r="J259" s="1" t="s">
        <v>4943</v>
      </c>
    </row>
    <row r="260" spans="3:10" x14ac:dyDescent="0.25">
      <c r="C260" t="s">
        <v>3683</v>
      </c>
      <c r="D260" s="1" t="s">
        <v>3682</v>
      </c>
      <c r="E260" s="1" t="s">
        <v>4863</v>
      </c>
      <c r="F260" s="1" t="s">
        <v>4874</v>
      </c>
      <c r="G260" s="1" t="s">
        <v>4869</v>
      </c>
      <c r="H260" s="1" t="s">
        <v>5010</v>
      </c>
      <c r="I260" s="1" t="s">
        <v>4896</v>
      </c>
      <c r="J260" s="1" t="s">
        <v>4911</v>
      </c>
    </row>
    <row r="261" spans="3:10" x14ac:dyDescent="0.25">
      <c r="C261" s="1" t="s">
        <v>3689</v>
      </c>
      <c r="D261" s="1" t="s">
        <v>3690</v>
      </c>
      <c r="E261" s="1" t="s">
        <v>4865</v>
      </c>
      <c r="F261" s="1" t="s">
        <v>4873</v>
      </c>
      <c r="G261" s="1" t="s">
        <v>4869</v>
      </c>
      <c r="H261" s="1" t="s">
        <v>4920</v>
      </c>
      <c r="I261" s="1" t="s">
        <v>4896</v>
      </c>
      <c r="J261" s="1" t="s">
        <v>4924</v>
      </c>
    </row>
    <row r="262" spans="3:10" x14ac:dyDescent="0.25">
      <c r="C262" s="1" t="s">
        <v>3893</v>
      </c>
      <c r="D262" s="1" t="s">
        <v>3895</v>
      </c>
      <c r="E262" s="1" t="s">
        <v>4867</v>
      </c>
      <c r="F262" s="1" t="s">
        <v>4875</v>
      </c>
      <c r="G262" s="1" t="s">
        <v>4869</v>
      </c>
      <c r="H262" s="1" t="s">
        <v>4953</v>
      </c>
      <c r="I262" s="1" t="s">
        <v>4896</v>
      </c>
      <c r="J262" s="1" t="s">
        <v>4924</v>
      </c>
    </row>
    <row r="263" spans="3:10" x14ac:dyDescent="0.25">
      <c r="C263" s="1" t="s">
        <v>4137</v>
      </c>
      <c r="D263" s="1" t="s">
        <v>4138</v>
      </c>
      <c r="E263" s="1" t="s">
        <v>4865</v>
      </c>
      <c r="F263" s="1" t="s">
        <v>4874</v>
      </c>
      <c r="G263" s="1" t="s">
        <v>4869</v>
      </c>
      <c r="H263" s="1" t="s">
        <v>4918</v>
      </c>
      <c r="I263" s="1" t="s">
        <v>4896</v>
      </c>
      <c r="J263" s="1" t="s">
        <v>4911</v>
      </c>
    </row>
    <row r="264" spans="3:10" x14ac:dyDescent="0.25">
      <c r="C264" s="1" t="s">
        <v>4145</v>
      </c>
      <c r="D264" s="1" t="s">
        <v>2948</v>
      </c>
      <c r="E264" s="1" t="s">
        <v>4863</v>
      </c>
      <c r="F264" s="1" t="s">
        <v>4872</v>
      </c>
      <c r="G264" s="1" t="s">
        <v>4869</v>
      </c>
      <c r="H264" s="1" t="s">
        <v>4933</v>
      </c>
      <c r="I264" s="1" t="s">
        <v>4896</v>
      </c>
      <c r="J264" s="1" t="s">
        <v>4911</v>
      </c>
    </row>
    <row r="265" spans="3:10" x14ac:dyDescent="0.25">
      <c r="C265" s="1" t="s">
        <v>4348</v>
      </c>
      <c r="D265" s="1" t="s">
        <v>4350</v>
      </c>
      <c r="E265" s="1" t="s">
        <v>4865</v>
      </c>
      <c r="F265" s="1" t="s">
        <v>4875</v>
      </c>
      <c r="G265" s="1" t="s">
        <v>4869</v>
      </c>
      <c r="H265" s="1" t="s">
        <v>5010</v>
      </c>
      <c r="I265" s="1" t="s">
        <v>4896</v>
      </c>
      <c r="J265" s="1" t="s">
        <v>4911</v>
      </c>
    </row>
    <row r="266" spans="3:10" x14ac:dyDescent="0.25">
      <c r="C266" s="1" t="s">
        <v>4399</v>
      </c>
      <c r="D266" s="1" t="s">
        <v>4401</v>
      </c>
      <c r="E266" s="1" t="s">
        <v>4863</v>
      </c>
      <c r="F266" s="1" t="s">
        <v>4875</v>
      </c>
      <c r="G266" s="1" t="s">
        <v>4868</v>
      </c>
      <c r="H266" s="1" t="s">
        <v>4948</v>
      </c>
      <c r="I266" s="1" t="s">
        <v>4896</v>
      </c>
      <c r="J266" s="1" t="s">
        <v>5197</v>
      </c>
    </row>
    <row r="267" spans="3:10" x14ac:dyDescent="0.25">
      <c r="C267" s="1" t="s">
        <v>4506</v>
      </c>
      <c r="D267" s="1" t="s">
        <v>4507</v>
      </c>
      <c r="E267" s="1" t="s">
        <v>4867</v>
      </c>
      <c r="F267" s="1" t="s">
        <v>4875</v>
      </c>
      <c r="G267" s="1" t="s">
        <v>4869</v>
      </c>
      <c r="H267" s="1" t="s">
        <v>4916</v>
      </c>
      <c r="I267" s="1" t="s">
        <v>4896</v>
      </c>
      <c r="J267" s="1" t="s">
        <v>4911</v>
      </c>
    </row>
    <row r="268" spans="3:10" x14ac:dyDescent="0.25">
      <c r="C268" s="1" t="s">
        <v>4514</v>
      </c>
      <c r="D268" s="1" t="s">
        <v>4515</v>
      </c>
      <c r="E268" s="1" t="s">
        <v>4863</v>
      </c>
      <c r="F268" s="1" t="s">
        <v>4875</v>
      </c>
      <c r="G268" s="1" t="s">
        <v>4868</v>
      </c>
      <c r="H268" s="1" t="s">
        <v>4948</v>
      </c>
      <c r="I268" s="1" t="s">
        <v>4896</v>
      </c>
      <c r="J268" s="1" t="s">
        <v>4924</v>
      </c>
    </row>
    <row r="269" spans="3:10" x14ac:dyDescent="0.25">
      <c r="C269" s="1" t="s">
        <v>4599</v>
      </c>
      <c r="D269" s="1" t="s">
        <v>4600</v>
      </c>
      <c r="E269" s="1" t="s">
        <v>4863</v>
      </c>
      <c r="F269" s="1" t="s">
        <v>4874</v>
      </c>
      <c r="G269" s="1" t="s">
        <v>4868</v>
      </c>
      <c r="H269" s="1" t="s">
        <v>4948</v>
      </c>
      <c r="I269" s="1" t="s">
        <v>4896</v>
      </c>
      <c r="J269" s="1" t="s">
        <v>5089</v>
      </c>
    </row>
    <row r="270" spans="3:10" x14ac:dyDescent="0.25">
      <c r="C270" s="1" t="s">
        <v>4627</v>
      </c>
      <c r="D270" s="1" t="s">
        <v>4628</v>
      </c>
      <c r="E270" s="1" t="s">
        <v>4863</v>
      </c>
      <c r="F270" s="1" t="s">
        <v>4874</v>
      </c>
      <c r="G270" s="1" t="s">
        <v>4869</v>
      </c>
      <c r="H270" s="1" t="s">
        <v>4925</v>
      </c>
      <c r="I270" s="1" t="s">
        <v>4896</v>
      </c>
      <c r="J270" s="1" t="s">
        <v>4911</v>
      </c>
    </row>
    <row r="271" spans="3:10" x14ac:dyDescent="0.25">
      <c r="C271" t="s">
        <v>4765</v>
      </c>
      <c r="D271" s="1" t="s">
        <v>4763</v>
      </c>
      <c r="E271" s="1" t="s">
        <v>4863</v>
      </c>
      <c r="F271" s="1" t="s">
        <v>4872</v>
      </c>
      <c r="G271" s="1" t="s">
        <v>4869</v>
      </c>
      <c r="H271" s="1" t="s">
        <v>4926</v>
      </c>
      <c r="I271" s="1" t="s">
        <v>4896</v>
      </c>
      <c r="J271" s="1" t="s">
        <v>4911</v>
      </c>
    </row>
    <row r="272" spans="3:10" x14ac:dyDescent="0.25">
      <c r="C272" t="s">
        <v>4770</v>
      </c>
      <c r="D272" s="1" t="s">
        <v>4769</v>
      </c>
      <c r="E272" s="1" t="s">
        <v>4865</v>
      </c>
      <c r="F272" s="1" t="s">
        <v>4875</v>
      </c>
      <c r="G272" s="1" t="s">
        <v>4869</v>
      </c>
      <c r="H272" s="1" t="s">
        <v>4918</v>
      </c>
      <c r="I272" s="1" t="s">
        <v>4896</v>
      </c>
      <c r="J272" s="1" t="s">
        <v>4911</v>
      </c>
    </row>
    <row r="273" spans="3:10" x14ac:dyDescent="0.25">
      <c r="C273" s="1" t="s">
        <v>4779</v>
      </c>
      <c r="D273" s="1" t="s">
        <v>4781</v>
      </c>
      <c r="E273" s="1" t="s">
        <v>4863</v>
      </c>
      <c r="F273" s="1" t="s">
        <v>4874</v>
      </c>
      <c r="G273" s="1" t="s">
        <v>4868</v>
      </c>
      <c r="H273" s="1" t="s">
        <v>4948</v>
      </c>
      <c r="I273" s="1" t="s">
        <v>4896</v>
      </c>
      <c r="J273" s="1" t="s">
        <v>5090</v>
      </c>
    </row>
    <row r="274" spans="3:10" x14ac:dyDescent="0.25">
      <c r="C274" s="1" t="s">
        <v>1594</v>
      </c>
      <c r="D274" s="1" t="s">
        <v>1596</v>
      </c>
      <c r="E274" s="1" t="s">
        <v>4865</v>
      </c>
      <c r="F274" s="1" t="s">
        <v>4873</v>
      </c>
      <c r="G274" s="1" t="s">
        <v>4869</v>
      </c>
      <c r="H274" s="1" t="s">
        <v>4919</v>
      </c>
      <c r="I274" s="1" t="s">
        <v>4896</v>
      </c>
      <c r="J274" s="1" t="s">
        <v>4943</v>
      </c>
    </row>
    <row r="275" spans="3:10" x14ac:dyDescent="0.25">
      <c r="C275" s="1" t="s">
        <v>2780</v>
      </c>
      <c r="D275" s="1" t="s">
        <v>1796</v>
      </c>
      <c r="E275" s="1" t="s">
        <v>4864</v>
      </c>
      <c r="F275" s="1" t="s">
        <v>4872</v>
      </c>
      <c r="G275" s="1" t="s">
        <v>4869</v>
      </c>
      <c r="H275" s="1" t="s">
        <v>4949</v>
      </c>
      <c r="I275" s="1" t="s">
        <v>4896</v>
      </c>
      <c r="J275" s="1" t="s">
        <v>4911</v>
      </c>
    </row>
    <row r="276" spans="3:10" x14ac:dyDescent="0.25">
      <c r="C276" s="1" t="s">
        <v>3188</v>
      </c>
      <c r="D276" s="1" t="s">
        <v>3189</v>
      </c>
      <c r="E276" s="1" t="s">
        <v>4864</v>
      </c>
      <c r="F276" s="1" t="s">
        <v>4875</v>
      </c>
      <c r="G276" s="1" t="s">
        <v>4869</v>
      </c>
      <c r="H276" s="1" t="s">
        <v>4921</v>
      </c>
      <c r="I276" s="1" t="s">
        <v>4896</v>
      </c>
      <c r="J276" s="1" t="s">
        <v>4911</v>
      </c>
    </row>
    <row r="277" spans="3:10" x14ac:dyDescent="0.25">
      <c r="C277" s="1" t="s">
        <v>3197</v>
      </c>
      <c r="D277" s="1" t="s">
        <v>1483</v>
      </c>
      <c r="E277" s="1" t="s">
        <v>4863</v>
      </c>
      <c r="F277" s="1" t="s">
        <v>4874</v>
      </c>
      <c r="G277" s="1" t="s">
        <v>4869</v>
      </c>
      <c r="H277" s="1" t="s">
        <v>4936</v>
      </c>
      <c r="I277" s="1" t="s">
        <v>4896</v>
      </c>
      <c r="J277" s="1" t="s">
        <v>4911</v>
      </c>
    </row>
    <row r="278" spans="3:10" x14ac:dyDescent="0.25">
      <c r="C278" s="1" t="s">
        <v>3203</v>
      </c>
      <c r="D278" s="1" t="s">
        <v>3204</v>
      </c>
      <c r="E278" s="1" t="s">
        <v>4867</v>
      </c>
      <c r="F278" s="1" t="s">
        <v>4875</v>
      </c>
      <c r="G278" s="1" t="s">
        <v>4869</v>
      </c>
      <c r="H278" s="1" t="s">
        <v>5010</v>
      </c>
      <c r="I278" s="1" t="s">
        <v>4896</v>
      </c>
      <c r="J278" s="1" t="s">
        <v>5008</v>
      </c>
    </row>
    <row r="279" spans="3:10" x14ac:dyDescent="0.25">
      <c r="C279" s="1" t="s">
        <v>3582</v>
      </c>
      <c r="D279" s="1" t="s">
        <v>3583</v>
      </c>
      <c r="E279" s="1" t="s">
        <v>4865</v>
      </c>
      <c r="F279" s="1" t="s">
        <v>4874</v>
      </c>
      <c r="G279" s="1" t="s">
        <v>4869</v>
      </c>
      <c r="H279" s="1" t="s">
        <v>4923</v>
      </c>
      <c r="I279" s="1" t="s">
        <v>4896</v>
      </c>
      <c r="J279" s="1" t="s">
        <v>4911</v>
      </c>
    </row>
    <row r="280" spans="3:10" x14ac:dyDescent="0.25">
      <c r="C280" s="1" t="s">
        <v>4791</v>
      </c>
      <c r="D280" s="1" t="s">
        <v>4792</v>
      </c>
      <c r="E280" s="1" t="s">
        <v>4865</v>
      </c>
      <c r="F280" s="1" t="s">
        <v>4873</v>
      </c>
      <c r="G280" s="1" t="s">
        <v>4869</v>
      </c>
      <c r="H280" s="1" t="s">
        <v>4918</v>
      </c>
      <c r="I280" s="1" t="s">
        <v>4896</v>
      </c>
      <c r="J280" s="1" t="s">
        <v>4911</v>
      </c>
    </row>
    <row r="281" spans="3:10" x14ac:dyDescent="0.25">
      <c r="C281" s="1" t="s">
        <v>4968</v>
      </c>
      <c r="D281" s="1" t="s">
        <v>4969</v>
      </c>
      <c r="E281" s="1" t="s">
        <v>4867</v>
      </c>
      <c r="F281" s="1" t="s">
        <v>4875</v>
      </c>
      <c r="G281" s="1" t="s">
        <v>4869</v>
      </c>
      <c r="H281" s="1" t="s">
        <v>4921</v>
      </c>
      <c r="I281" s="1" t="s">
        <v>4896</v>
      </c>
      <c r="J281" s="1" t="s">
        <v>4924</v>
      </c>
    </row>
    <row r="282" spans="3:10" x14ac:dyDescent="0.25">
      <c r="C282" s="1" t="s">
        <v>5040</v>
      </c>
      <c r="D282" s="1" t="s">
        <v>5042</v>
      </c>
      <c r="E282" s="1"/>
      <c r="F282" s="1"/>
      <c r="G282" s="1"/>
      <c r="H282" s="1"/>
      <c r="I282" s="1"/>
      <c r="J282" s="1"/>
    </row>
    <row r="283" spans="3:10" x14ac:dyDescent="0.25">
      <c r="C283" s="1" t="s">
        <v>5136</v>
      </c>
      <c r="D283" s="1" t="s">
        <v>5139</v>
      </c>
      <c r="E283" s="1" t="s">
        <v>4863</v>
      </c>
      <c r="F283" s="1" t="s">
        <v>4872</v>
      </c>
      <c r="G283" s="1" t="s">
        <v>4869</v>
      </c>
      <c r="H283" s="1" t="s">
        <v>4933</v>
      </c>
      <c r="I283" s="1" t="s">
        <v>4896</v>
      </c>
      <c r="J283" s="1" t="s">
        <v>4911</v>
      </c>
    </row>
    <row r="284" spans="3:10" x14ac:dyDescent="0.25">
      <c r="C284" s="1" t="s">
        <v>2575</v>
      </c>
      <c r="D284" s="1" t="s">
        <v>2577</v>
      </c>
      <c r="E284" s="1" t="s">
        <v>4865</v>
      </c>
      <c r="F284" s="1" t="s">
        <v>4875</v>
      </c>
      <c r="G284" s="1" t="s">
        <v>4869</v>
      </c>
      <c r="H284" s="1" t="s">
        <v>4916</v>
      </c>
      <c r="I284" s="1" t="s">
        <v>4896</v>
      </c>
      <c r="J284" s="1" t="s">
        <v>4911</v>
      </c>
    </row>
    <row r="285" spans="3:10" x14ac:dyDescent="0.25">
      <c r="C285" s="1" t="s">
        <v>2781</v>
      </c>
      <c r="D285" s="1" t="s">
        <v>2589</v>
      </c>
      <c r="E285" s="1" t="s">
        <v>4865</v>
      </c>
      <c r="F285" s="1" t="s">
        <v>4873</v>
      </c>
      <c r="G285" s="1" t="s">
        <v>4868</v>
      </c>
      <c r="H285" s="1" t="s">
        <v>5103</v>
      </c>
      <c r="I285" s="1" t="s">
        <v>4896</v>
      </c>
      <c r="J285" s="1" t="s">
        <v>4911</v>
      </c>
    </row>
    <row r="286" spans="3:10" x14ac:dyDescent="0.25">
      <c r="C286" s="1" t="s">
        <v>2782</v>
      </c>
      <c r="D286" s="1" t="s">
        <v>2593</v>
      </c>
      <c r="E286" s="1" t="s">
        <v>4863</v>
      </c>
      <c r="F286" s="1" t="s">
        <v>4872</v>
      </c>
      <c r="G286" s="1" t="s">
        <v>4869</v>
      </c>
      <c r="H286" s="1" t="s">
        <v>4926</v>
      </c>
      <c r="I286" s="1" t="s">
        <v>4896</v>
      </c>
      <c r="J286" s="1" t="s">
        <v>4911</v>
      </c>
    </row>
    <row r="287" spans="3:10" x14ac:dyDescent="0.25">
      <c r="C287" s="1" t="s">
        <v>3208</v>
      </c>
      <c r="D287" s="1" t="s">
        <v>3209</v>
      </c>
      <c r="E287" s="1" t="s">
        <v>4865</v>
      </c>
      <c r="F287" s="1" t="s">
        <v>4874</v>
      </c>
      <c r="G287" s="1" t="s">
        <v>4869</v>
      </c>
      <c r="H287" s="1" t="s">
        <v>4922</v>
      </c>
      <c r="I287" s="1" t="s">
        <v>4896</v>
      </c>
      <c r="J287" s="1" t="s">
        <v>4911</v>
      </c>
    </row>
    <row r="288" spans="3:10" x14ac:dyDescent="0.25">
      <c r="C288" s="31" t="s">
        <v>3747</v>
      </c>
      <c r="D288" s="1" t="s">
        <v>3748</v>
      </c>
      <c r="E288" s="1" t="s">
        <v>4867</v>
      </c>
      <c r="F288" s="1" t="s">
        <v>4875</v>
      </c>
      <c r="G288" s="1" t="s">
        <v>4869</v>
      </c>
      <c r="H288" s="1" t="s">
        <v>4918</v>
      </c>
      <c r="I288" s="1" t="s">
        <v>4896</v>
      </c>
      <c r="J288" s="1" t="s">
        <v>4911</v>
      </c>
    </row>
    <row r="289" spans="3:10" x14ac:dyDescent="0.25">
      <c r="C289" s="1" t="s">
        <v>1603</v>
      </c>
      <c r="D289" s="1" t="s">
        <v>1604</v>
      </c>
      <c r="E289" s="37" t="s">
        <v>4867</v>
      </c>
      <c r="F289" s="15" t="s">
        <v>4875</v>
      </c>
      <c r="G289" s="15" t="s">
        <v>4869</v>
      </c>
      <c r="H289" s="15" t="s">
        <v>4920</v>
      </c>
      <c r="I289" s="15" t="s">
        <v>4896</v>
      </c>
      <c r="J289" s="15" t="s">
        <v>4924</v>
      </c>
    </row>
    <row r="290" spans="3:10" x14ac:dyDescent="0.25">
      <c r="C290" s="1" t="s">
        <v>1612</v>
      </c>
      <c r="D290" s="1" t="s">
        <v>1614</v>
      </c>
      <c r="E290" s="1" t="s">
        <v>4865</v>
      </c>
      <c r="F290" s="1" t="s">
        <v>4873</v>
      </c>
      <c r="G290" s="1" t="s">
        <v>4869</v>
      </c>
      <c r="H290" s="1" t="s">
        <v>4926</v>
      </c>
      <c r="I290" s="1" t="s">
        <v>4896</v>
      </c>
      <c r="J290" s="1" t="s">
        <v>4911</v>
      </c>
    </row>
    <row r="291" spans="3:10" x14ac:dyDescent="0.25">
      <c r="C291" s="1" t="s">
        <v>1620</v>
      </c>
      <c r="D291" s="1" t="s">
        <v>1621</v>
      </c>
      <c r="E291" s="1" t="s">
        <v>4863</v>
      </c>
      <c r="F291" s="1" t="s">
        <v>4874</v>
      </c>
      <c r="G291" s="1" t="s">
        <v>4869</v>
      </c>
      <c r="H291" s="1" t="s">
        <v>4926</v>
      </c>
      <c r="I291" s="1" t="s">
        <v>4896</v>
      </c>
      <c r="J291" s="1" t="s">
        <v>4911</v>
      </c>
    </row>
    <row r="292" spans="3:10" x14ac:dyDescent="0.25">
      <c r="C292" s="1" t="s">
        <v>1631</v>
      </c>
      <c r="D292" s="1" t="s">
        <v>1632</v>
      </c>
      <c r="E292" s="1" t="s">
        <v>4865</v>
      </c>
      <c r="F292" s="1" t="s">
        <v>4873</v>
      </c>
      <c r="G292" s="1" t="s">
        <v>4869</v>
      </c>
      <c r="H292" s="1" t="s">
        <v>4926</v>
      </c>
      <c r="I292" s="1" t="s">
        <v>4896</v>
      </c>
      <c r="J292" s="1" t="s">
        <v>4911</v>
      </c>
    </row>
    <row r="293" spans="3:10" x14ac:dyDescent="0.25">
      <c r="C293" s="1" t="s">
        <v>2003</v>
      </c>
      <c r="D293" s="1" t="s">
        <v>2005</v>
      </c>
      <c r="E293" s="1" t="s">
        <v>4864</v>
      </c>
      <c r="F293" s="1" t="s">
        <v>4875</v>
      </c>
      <c r="G293" s="1" t="s">
        <v>4869</v>
      </c>
      <c r="H293" s="1" t="s">
        <v>4925</v>
      </c>
      <c r="I293" s="1" t="s">
        <v>4896</v>
      </c>
      <c r="J293" s="1" t="s">
        <v>4931</v>
      </c>
    </row>
    <row r="294" spans="3:10" x14ac:dyDescent="0.25">
      <c r="C294" s="1" t="s">
        <v>2032</v>
      </c>
      <c r="D294" s="1" t="s">
        <v>2033</v>
      </c>
      <c r="E294" s="1" t="s">
        <v>4865</v>
      </c>
      <c r="F294" s="1" t="s">
        <v>4875</v>
      </c>
      <c r="G294" s="1" t="s">
        <v>4869</v>
      </c>
      <c r="H294" s="1" t="s">
        <v>4953</v>
      </c>
      <c r="I294" s="1" t="s">
        <v>4896</v>
      </c>
      <c r="J294" s="1" t="s">
        <v>4924</v>
      </c>
    </row>
    <row r="295" spans="3:10" x14ac:dyDescent="0.25">
      <c r="C295" s="1" t="s">
        <v>2041</v>
      </c>
      <c r="D295" s="1" t="s">
        <v>2042</v>
      </c>
      <c r="E295" s="1" t="s">
        <v>4863</v>
      </c>
      <c r="F295" s="1" t="s">
        <v>4874</v>
      </c>
      <c r="G295" s="1" t="s">
        <v>4869</v>
      </c>
      <c r="H295" s="1" t="s">
        <v>5013</v>
      </c>
      <c r="I295" s="1" t="s">
        <v>4896</v>
      </c>
      <c r="J295" s="1" t="s">
        <v>4952</v>
      </c>
    </row>
    <row r="296" spans="3:10" x14ac:dyDescent="0.25">
      <c r="C296" s="1" t="s">
        <v>2048</v>
      </c>
      <c r="D296" s="1" t="s">
        <v>2049</v>
      </c>
      <c r="E296" s="1" t="s">
        <v>4864</v>
      </c>
      <c r="F296" s="1" t="s">
        <v>4874</v>
      </c>
      <c r="G296" s="1" t="s">
        <v>4869</v>
      </c>
      <c r="H296" s="1" t="s">
        <v>4923</v>
      </c>
      <c r="I296" s="1" t="s">
        <v>4896</v>
      </c>
      <c r="J296" s="1" t="s">
        <v>4911</v>
      </c>
    </row>
    <row r="297" spans="3:10" x14ac:dyDescent="0.25">
      <c r="C297" s="1" t="s">
        <v>4062</v>
      </c>
      <c r="D297" s="1" t="s">
        <v>2061</v>
      </c>
      <c r="E297" s="1" t="s">
        <v>4863</v>
      </c>
      <c r="F297" s="1" t="s">
        <v>4875</v>
      </c>
      <c r="G297" s="1" t="s">
        <v>4871</v>
      </c>
      <c r="H297" s="1" t="s">
        <v>4948</v>
      </c>
      <c r="I297" s="1" t="s">
        <v>4896</v>
      </c>
      <c r="J297" s="1" t="s">
        <v>5008</v>
      </c>
    </row>
    <row r="298" spans="3:10" x14ac:dyDescent="0.25">
      <c r="C298" s="1" t="s">
        <v>3215</v>
      </c>
      <c r="D298" s="1" t="s">
        <v>3213</v>
      </c>
      <c r="E298" s="1" t="s">
        <v>4863</v>
      </c>
      <c r="F298" s="1" t="s">
        <v>4873</v>
      </c>
      <c r="G298" s="1" t="s">
        <v>4869</v>
      </c>
      <c r="H298" s="1" t="s">
        <v>5010</v>
      </c>
      <c r="I298" s="1" t="s">
        <v>4896</v>
      </c>
      <c r="J298" s="1" t="s">
        <v>4911</v>
      </c>
    </row>
    <row r="299" spans="3:10" x14ac:dyDescent="0.25">
      <c r="C299" s="1" t="s">
        <v>3219</v>
      </c>
      <c r="D299" s="1" t="s">
        <v>3220</v>
      </c>
      <c r="E299" s="1" t="s">
        <v>4865</v>
      </c>
      <c r="F299" s="1" t="s">
        <v>4872</v>
      </c>
      <c r="G299" s="1" t="s">
        <v>4869</v>
      </c>
      <c r="H299" s="1" t="s">
        <v>4933</v>
      </c>
      <c r="I299" s="1" t="s">
        <v>4896</v>
      </c>
      <c r="J299" s="1" t="s">
        <v>4911</v>
      </c>
    </row>
    <row r="300" spans="3:10" x14ac:dyDescent="0.25">
      <c r="C300" s="1" t="s">
        <v>3224</v>
      </c>
      <c r="D300" s="1" t="s">
        <v>3225</v>
      </c>
      <c r="E300" s="1" t="s">
        <v>4863</v>
      </c>
      <c r="F300" s="1" t="s">
        <v>4872</v>
      </c>
      <c r="G300" s="1" t="s">
        <v>4869</v>
      </c>
      <c r="H300" s="1" t="s">
        <v>5091</v>
      </c>
      <c r="I300" s="1" t="s">
        <v>4896</v>
      </c>
      <c r="J300" s="1" t="s">
        <v>4911</v>
      </c>
    </row>
    <row r="301" spans="3:10" x14ac:dyDescent="0.25">
      <c r="C301" s="1" t="s">
        <v>3232</v>
      </c>
      <c r="D301" s="1" t="s">
        <v>3233</v>
      </c>
      <c r="E301" s="1" t="s">
        <v>4863</v>
      </c>
      <c r="F301" s="1" t="s">
        <v>4872</v>
      </c>
      <c r="G301" s="1" t="s">
        <v>4869</v>
      </c>
      <c r="H301" s="1" t="s">
        <v>4933</v>
      </c>
      <c r="I301" s="1" t="s">
        <v>4896</v>
      </c>
      <c r="J301" s="1" t="s">
        <v>4911</v>
      </c>
    </row>
    <row r="302" spans="3:10" x14ac:dyDescent="0.25">
      <c r="C302" s="1" t="s">
        <v>3236</v>
      </c>
      <c r="D302" s="1" t="s">
        <v>3237</v>
      </c>
      <c r="E302" s="1" t="s">
        <v>4863</v>
      </c>
      <c r="F302" s="1" t="s">
        <v>4875</v>
      </c>
      <c r="G302" s="1" t="s">
        <v>4871</v>
      </c>
      <c r="H302" s="1" t="s">
        <v>4948</v>
      </c>
      <c r="I302" s="1" t="s">
        <v>4896</v>
      </c>
      <c r="J302" s="1" t="s">
        <v>4911</v>
      </c>
    </row>
    <row r="303" spans="3:10" x14ac:dyDescent="0.25">
      <c r="C303" s="1" t="s">
        <v>3242</v>
      </c>
      <c r="D303" s="1"/>
      <c r="E303" s="1" t="s">
        <v>4863</v>
      </c>
      <c r="F303" s="1" t="s">
        <v>4872</v>
      </c>
      <c r="G303" s="1" t="s">
        <v>4869</v>
      </c>
      <c r="H303" s="1" t="s">
        <v>5010</v>
      </c>
      <c r="I303" s="1" t="s">
        <v>4896</v>
      </c>
      <c r="J303" s="1" t="s">
        <v>4911</v>
      </c>
    </row>
    <row r="304" spans="3:10" x14ac:dyDescent="0.25">
      <c r="C304" s="1" t="s">
        <v>3592</v>
      </c>
      <c r="D304" s="1" t="s">
        <v>3593</v>
      </c>
      <c r="E304" s="1" t="s">
        <v>4865</v>
      </c>
      <c r="F304" s="1" t="s">
        <v>4874</v>
      </c>
      <c r="G304" s="1" t="s">
        <v>4869</v>
      </c>
      <c r="H304" s="1" t="s">
        <v>4923</v>
      </c>
      <c r="I304" s="1" t="s">
        <v>4896</v>
      </c>
      <c r="J304" s="1" t="s">
        <v>4924</v>
      </c>
    </row>
    <row r="305" spans="3:10" x14ac:dyDescent="0.25">
      <c r="C305" s="1" t="s">
        <v>3694</v>
      </c>
      <c r="D305" s="1" t="s">
        <v>3695</v>
      </c>
      <c r="E305" s="1" t="s">
        <v>4865</v>
      </c>
      <c r="F305" s="1" t="s">
        <v>4874</v>
      </c>
      <c r="G305" s="1" t="s">
        <v>4869</v>
      </c>
      <c r="H305" s="1" t="s">
        <v>4920</v>
      </c>
      <c r="I305" s="1" t="s">
        <v>4896</v>
      </c>
      <c r="J305" s="1" t="s">
        <v>4911</v>
      </c>
    </row>
    <row r="306" spans="3:10" x14ac:dyDescent="0.25">
      <c r="C306" s="1" t="s">
        <v>4050</v>
      </c>
      <c r="D306" s="1" t="s">
        <v>4051</v>
      </c>
      <c r="E306" s="1" t="s">
        <v>4865</v>
      </c>
      <c r="F306" s="1" t="s">
        <v>4875</v>
      </c>
      <c r="G306" s="1" t="s">
        <v>4869</v>
      </c>
      <c r="H306" s="1" t="s">
        <v>4923</v>
      </c>
      <c r="I306" s="1" t="s">
        <v>4896</v>
      </c>
      <c r="J306" s="1" t="s">
        <v>4943</v>
      </c>
    </row>
    <row r="307" spans="3:10" x14ac:dyDescent="0.25">
      <c r="C307" s="1" t="s">
        <v>4272</v>
      </c>
      <c r="D307" s="1" t="s">
        <v>4274</v>
      </c>
      <c r="E307" s="1" t="s">
        <v>4867</v>
      </c>
      <c r="F307" s="1" t="s">
        <v>4875</v>
      </c>
      <c r="G307" s="1" t="s">
        <v>4869</v>
      </c>
      <c r="H307" s="1" t="s">
        <v>4921</v>
      </c>
      <c r="I307" s="1" t="s">
        <v>4896</v>
      </c>
      <c r="J307" s="1" t="s">
        <v>4911</v>
      </c>
    </row>
    <row r="308" spans="3:10" x14ac:dyDescent="0.25">
      <c r="C308" s="1" t="s">
        <v>4358</v>
      </c>
      <c r="D308" s="1" t="s">
        <v>4360</v>
      </c>
      <c r="E308" s="1" t="s">
        <v>4863</v>
      </c>
      <c r="F308" s="1" t="s">
        <v>4873</v>
      </c>
      <c r="G308" s="1" t="s">
        <v>4869</v>
      </c>
      <c r="H308" s="1" t="s">
        <v>5010</v>
      </c>
      <c r="I308" s="1" t="s">
        <v>4896</v>
      </c>
      <c r="J308" s="1" t="s">
        <v>4911</v>
      </c>
    </row>
    <row r="309" spans="3:10" x14ac:dyDescent="0.25">
      <c r="C309" s="1" t="s">
        <v>4374</v>
      </c>
      <c r="D309" s="1" t="s">
        <v>4376</v>
      </c>
      <c r="E309" s="1" t="s">
        <v>4865</v>
      </c>
      <c r="F309" s="1" t="s">
        <v>4874</v>
      </c>
      <c r="G309" s="1" t="s">
        <v>4869</v>
      </c>
      <c r="H309" s="1" t="s">
        <v>4949</v>
      </c>
      <c r="I309" s="1" t="s">
        <v>4896</v>
      </c>
      <c r="J309" s="1" t="s">
        <v>4911</v>
      </c>
    </row>
    <row r="310" spans="3:10" x14ac:dyDescent="0.25">
      <c r="C310" s="1" t="s">
        <v>4425</v>
      </c>
      <c r="D310" s="1" t="s">
        <v>4427</v>
      </c>
      <c r="E310" s="1" t="s">
        <v>4867</v>
      </c>
      <c r="F310" s="1" t="s">
        <v>4875</v>
      </c>
      <c r="G310" s="1" t="s">
        <v>4869</v>
      </c>
      <c r="H310" s="1" t="s">
        <v>3312</v>
      </c>
      <c r="I310" s="1" t="s">
        <v>4896</v>
      </c>
      <c r="J310" s="1" t="s">
        <v>4924</v>
      </c>
    </row>
    <row r="311" spans="3:10" x14ac:dyDescent="0.25">
      <c r="C311" s="1" t="s">
        <v>4437</v>
      </c>
      <c r="D311" s="1" t="s">
        <v>4439</v>
      </c>
      <c r="E311" s="1" t="s">
        <v>4867</v>
      </c>
      <c r="F311" s="1" t="s">
        <v>4875</v>
      </c>
      <c r="G311" s="1" t="s">
        <v>4869</v>
      </c>
      <c r="H311" s="1" t="s">
        <v>4919</v>
      </c>
      <c r="I311" s="1" t="s">
        <v>4905</v>
      </c>
      <c r="J311" s="1" t="s">
        <v>5093</v>
      </c>
    </row>
    <row r="312" spans="3:10" x14ac:dyDescent="0.25">
      <c r="C312" s="1" t="s">
        <v>4450</v>
      </c>
      <c r="D312" s="1" t="s">
        <v>4452</v>
      </c>
      <c r="E312" s="1" t="s">
        <v>4865</v>
      </c>
      <c r="F312" s="1" t="s">
        <v>4874</v>
      </c>
      <c r="G312" s="1" t="s">
        <v>4869</v>
      </c>
      <c r="H312" s="1" t="s">
        <v>4918</v>
      </c>
      <c r="I312" s="1" t="s">
        <v>4896</v>
      </c>
      <c r="J312" s="1" t="s">
        <v>4911</v>
      </c>
    </row>
    <row r="313" spans="3:10" x14ac:dyDescent="0.25">
      <c r="C313" s="1" t="s">
        <v>4795</v>
      </c>
      <c r="D313" s="1" t="s">
        <v>4796</v>
      </c>
      <c r="E313" s="1" t="s">
        <v>4865</v>
      </c>
      <c r="F313" s="1" t="s">
        <v>4874</v>
      </c>
      <c r="G313" s="1" t="s">
        <v>4869</v>
      </c>
      <c r="H313" s="1" t="s">
        <v>4918</v>
      </c>
      <c r="I313" s="1" t="s">
        <v>4896</v>
      </c>
      <c r="J313" s="1" t="s">
        <v>4911</v>
      </c>
    </row>
    <row r="314" spans="3:10" x14ac:dyDescent="0.25">
      <c r="C314" s="1" t="s">
        <v>4800</v>
      </c>
      <c r="D314" s="1" t="s">
        <v>4801</v>
      </c>
      <c r="E314" s="1" t="s">
        <v>4867</v>
      </c>
      <c r="F314" s="1" t="s">
        <v>4875</v>
      </c>
      <c r="G314" s="1" t="s">
        <v>4869</v>
      </c>
      <c r="H314" s="1" t="s">
        <v>4949</v>
      </c>
      <c r="I314" s="1" t="s">
        <v>4896</v>
      </c>
      <c r="J314" s="1" t="s">
        <v>4911</v>
      </c>
    </row>
    <row r="315" spans="3:10" x14ac:dyDescent="0.25">
      <c r="C315" s="1" t="s">
        <v>4974</v>
      </c>
      <c r="D315" s="1" t="s">
        <v>4976</v>
      </c>
      <c r="E315" s="1" t="s">
        <v>4863</v>
      </c>
      <c r="F315" s="1" t="s">
        <v>4872</v>
      </c>
      <c r="G315" s="1" t="s">
        <v>4869</v>
      </c>
      <c r="H315" s="1" t="s">
        <v>5010</v>
      </c>
      <c r="I315" s="1" t="s">
        <v>4896</v>
      </c>
      <c r="J315" s="1" t="s">
        <v>4911</v>
      </c>
    </row>
    <row r="316" spans="3:10" x14ac:dyDescent="0.25">
      <c r="C316" s="1" t="s">
        <v>5160</v>
      </c>
      <c r="D316" s="1" t="s">
        <v>5163</v>
      </c>
      <c r="E316" s="1"/>
      <c r="F316" s="1"/>
      <c r="G316" s="1"/>
      <c r="H316" s="1"/>
      <c r="I316" s="1"/>
      <c r="J316" s="1"/>
    </row>
    <row r="317" spans="3:10" x14ac:dyDescent="0.25">
      <c r="C317" s="1" t="s">
        <v>1640</v>
      </c>
      <c r="D317" s="1"/>
      <c r="E317" s="1" t="s">
        <v>4865</v>
      </c>
      <c r="F317" s="1" t="s">
        <v>4875</v>
      </c>
      <c r="G317" s="1" t="s">
        <v>4869</v>
      </c>
      <c r="H317" s="1" t="s">
        <v>4925</v>
      </c>
      <c r="I317" s="1" t="s">
        <v>4896</v>
      </c>
      <c r="J317" s="1" t="s">
        <v>4946</v>
      </c>
    </row>
    <row r="318" spans="3:10" x14ac:dyDescent="0.25">
      <c r="C318" s="1" t="s">
        <v>2110</v>
      </c>
      <c r="D318" s="1" t="s">
        <v>2111</v>
      </c>
      <c r="E318" s="1" t="s">
        <v>4865</v>
      </c>
      <c r="F318" s="1" t="s">
        <v>4873</v>
      </c>
      <c r="G318" s="1" t="s">
        <v>4869</v>
      </c>
      <c r="H318" s="1" t="s">
        <v>4920</v>
      </c>
      <c r="I318" s="1" t="s">
        <v>4896</v>
      </c>
      <c r="J318" s="1" t="s">
        <v>4911</v>
      </c>
    </row>
    <row r="319" spans="3:10" x14ac:dyDescent="0.25">
      <c r="C319" s="1" t="s">
        <v>3248</v>
      </c>
      <c r="D319" s="1" t="s">
        <v>3249</v>
      </c>
      <c r="E319" s="1" t="s">
        <v>4865</v>
      </c>
      <c r="F319" s="1" t="s">
        <v>4873</v>
      </c>
      <c r="G319" s="1" t="s">
        <v>4869</v>
      </c>
      <c r="H319" s="1" t="s">
        <v>4953</v>
      </c>
      <c r="I319" s="1" t="s">
        <v>4896</v>
      </c>
      <c r="J319" s="1" t="s">
        <v>4914</v>
      </c>
    </row>
    <row r="320" spans="3:10" x14ac:dyDescent="0.25">
      <c r="C320" s="1" t="s">
        <v>3258</v>
      </c>
      <c r="D320" s="1" t="s">
        <v>3256</v>
      </c>
      <c r="E320" s="1" t="s">
        <v>4865</v>
      </c>
      <c r="F320" s="1" t="s">
        <v>4873</v>
      </c>
      <c r="G320" s="1" t="s">
        <v>4869</v>
      </c>
      <c r="H320" s="1" t="s">
        <v>4933</v>
      </c>
      <c r="I320" s="1" t="s">
        <v>4896</v>
      </c>
      <c r="J320" s="1" t="s">
        <v>4946</v>
      </c>
    </row>
    <row r="321" spans="3:10" x14ac:dyDescent="0.25">
      <c r="C321" s="1" t="s">
        <v>4215</v>
      </c>
      <c r="D321" s="1" t="s">
        <v>4216</v>
      </c>
      <c r="E321" s="1" t="s">
        <v>4865</v>
      </c>
      <c r="F321" s="1" t="s">
        <v>4874</v>
      </c>
      <c r="G321" s="1" t="s">
        <v>4869</v>
      </c>
      <c r="H321" s="1" t="s">
        <v>4920</v>
      </c>
      <c r="I321" s="1" t="s">
        <v>4896</v>
      </c>
      <c r="J321" s="1" t="s">
        <v>4911</v>
      </c>
    </row>
    <row r="322" spans="3:10" x14ac:dyDescent="0.25">
      <c r="C322" s="1" t="s">
        <v>4805</v>
      </c>
      <c r="D322" s="1" t="s">
        <v>4806</v>
      </c>
      <c r="E322" s="1" t="s">
        <v>4865</v>
      </c>
      <c r="F322" s="1" t="s">
        <v>4875</v>
      </c>
      <c r="G322" s="1" t="s">
        <v>4869</v>
      </c>
      <c r="H322" s="1" t="s">
        <v>4923</v>
      </c>
      <c r="I322" s="1" t="s">
        <v>4896</v>
      </c>
      <c r="J322" s="1" t="s">
        <v>4931</v>
      </c>
    </row>
    <row r="323" spans="3:10" x14ac:dyDescent="0.25">
      <c r="C323" s="1" t="s">
        <v>1647</v>
      </c>
      <c r="D323" s="1" t="s">
        <v>1650</v>
      </c>
      <c r="E323" s="37" t="s">
        <v>4865</v>
      </c>
      <c r="F323" s="37" t="s">
        <v>4874</v>
      </c>
      <c r="G323" s="37" t="s">
        <v>4869</v>
      </c>
      <c r="H323" s="15" t="s">
        <v>4923</v>
      </c>
      <c r="I323" s="37" t="s">
        <v>4896</v>
      </c>
      <c r="J323" s="15" t="s">
        <v>4924</v>
      </c>
    </row>
    <row r="324" spans="3:10" x14ac:dyDescent="0.25">
      <c r="C324" s="1" t="s">
        <v>1652</v>
      </c>
      <c r="D324" s="1" t="s">
        <v>1653</v>
      </c>
      <c r="E324" s="1" t="s">
        <v>4867</v>
      </c>
      <c r="F324" s="1" t="s">
        <v>4875</v>
      </c>
      <c r="G324" s="1" t="s">
        <v>4869</v>
      </c>
      <c r="H324" s="1" t="s">
        <v>4920</v>
      </c>
      <c r="I324" s="1" t="s">
        <v>4896</v>
      </c>
      <c r="J324" s="1" t="s">
        <v>1483</v>
      </c>
    </row>
    <row r="325" spans="3:10" x14ac:dyDescent="0.25">
      <c r="C325" s="1" t="s">
        <v>1659</v>
      </c>
      <c r="D325" s="1" t="s">
        <v>1660</v>
      </c>
      <c r="E325" s="1" t="s">
        <v>4863</v>
      </c>
      <c r="F325" s="1" t="s">
        <v>4873</v>
      </c>
      <c r="G325" s="1" t="s">
        <v>4869</v>
      </c>
      <c r="H325" s="1" t="s">
        <v>4920</v>
      </c>
      <c r="I325" s="1" t="s">
        <v>4896</v>
      </c>
      <c r="J325" s="1" t="s">
        <v>4911</v>
      </c>
    </row>
    <row r="326" spans="3:10" x14ac:dyDescent="0.25">
      <c r="C326" s="1" t="s">
        <v>1665</v>
      </c>
      <c r="D326" s="1" t="s">
        <v>1483</v>
      </c>
      <c r="E326" s="1" t="s">
        <v>4867</v>
      </c>
      <c r="F326" s="1" t="s">
        <v>4875</v>
      </c>
      <c r="G326" s="1" t="s">
        <v>4869</v>
      </c>
      <c r="H326" s="1" t="s">
        <v>4920</v>
      </c>
      <c r="I326" s="1" t="s">
        <v>4896</v>
      </c>
      <c r="J326" s="1" t="s">
        <v>1483</v>
      </c>
    </row>
    <row r="327" spans="3:10" x14ac:dyDescent="0.25">
      <c r="C327" s="1" t="s">
        <v>3262</v>
      </c>
      <c r="D327" s="1" t="s">
        <v>3260</v>
      </c>
      <c r="E327" s="1" t="s">
        <v>4863</v>
      </c>
      <c r="F327" s="1" t="s">
        <v>4873</v>
      </c>
      <c r="G327" s="1" t="s">
        <v>4869</v>
      </c>
      <c r="H327" s="1" t="s">
        <v>4920</v>
      </c>
      <c r="I327" s="1" t="s">
        <v>4896</v>
      </c>
      <c r="J327" s="1" t="s">
        <v>4911</v>
      </c>
    </row>
    <row r="328" spans="3:10" x14ac:dyDescent="0.25">
      <c r="C328" s="1" t="s">
        <v>3259</v>
      </c>
      <c r="D328" s="1" t="s">
        <v>3263</v>
      </c>
      <c r="E328" s="1" t="s">
        <v>4863</v>
      </c>
      <c r="F328" s="1" t="s">
        <v>4873</v>
      </c>
      <c r="G328" s="1" t="s">
        <v>4869</v>
      </c>
      <c r="H328" s="1" t="s">
        <v>4920</v>
      </c>
      <c r="I328" s="1" t="s">
        <v>4896</v>
      </c>
      <c r="J328" s="1" t="s">
        <v>4911</v>
      </c>
    </row>
    <row r="329" spans="3:10" x14ac:dyDescent="0.25">
      <c r="C329" s="1" t="s">
        <v>3276</v>
      </c>
      <c r="D329" s="1" t="s">
        <v>3266</v>
      </c>
      <c r="E329" s="1" t="s">
        <v>4867</v>
      </c>
      <c r="F329" s="1" t="s">
        <v>4875</v>
      </c>
      <c r="G329" s="1" t="s">
        <v>4869</v>
      </c>
      <c r="H329" s="1" t="s">
        <v>4920</v>
      </c>
      <c r="I329" s="1" t="s">
        <v>4896</v>
      </c>
      <c r="J329" s="1" t="s">
        <v>4911</v>
      </c>
    </row>
    <row r="330" spans="3:10" x14ac:dyDescent="0.25">
      <c r="C330" s="1" t="s">
        <v>3292</v>
      </c>
      <c r="D330" s="1" t="s">
        <v>1483</v>
      </c>
      <c r="E330" s="1" t="s">
        <v>4865</v>
      </c>
      <c r="F330" s="1" t="s">
        <v>4874</v>
      </c>
      <c r="G330" s="1" t="s">
        <v>4869</v>
      </c>
      <c r="H330" s="1" t="s">
        <v>4916</v>
      </c>
      <c r="I330" s="1" t="s">
        <v>4896</v>
      </c>
      <c r="J330" s="1" t="s">
        <v>4911</v>
      </c>
    </row>
    <row r="331" spans="3:10" x14ac:dyDescent="0.25">
      <c r="C331" s="1" t="s">
        <v>3278</v>
      </c>
      <c r="D331" s="1" t="s">
        <v>3277</v>
      </c>
      <c r="E331" s="1" t="s">
        <v>4865</v>
      </c>
      <c r="F331" s="1" t="s">
        <v>4873</v>
      </c>
      <c r="G331" s="1" t="s">
        <v>4869</v>
      </c>
      <c r="H331" s="1" t="s">
        <v>4926</v>
      </c>
      <c r="I331" s="1" t="s">
        <v>4896</v>
      </c>
      <c r="J331" s="1" t="s">
        <v>4911</v>
      </c>
    </row>
    <row r="332" spans="3:10" x14ac:dyDescent="0.25">
      <c r="C332" s="1" t="s">
        <v>3285</v>
      </c>
      <c r="D332" s="1" t="s">
        <v>3286</v>
      </c>
      <c r="E332" s="1" t="s">
        <v>4864</v>
      </c>
      <c r="F332" s="1" t="s">
        <v>4875</v>
      </c>
      <c r="G332" s="1" t="s">
        <v>4869</v>
      </c>
      <c r="H332" s="1" t="s">
        <v>4926</v>
      </c>
      <c r="I332" s="1" t="s">
        <v>4896</v>
      </c>
      <c r="J332" s="1" t="s">
        <v>4911</v>
      </c>
    </row>
    <row r="333" spans="3:10" x14ac:dyDescent="0.25">
      <c r="C333" s="1" t="s">
        <v>3597</v>
      </c>
      <c r="D333" s="1" t="s">
        <v>3598</v>
      </c>
      <c r="E333" s="1" t="s">
        <v>4865</v>
      </c>
      <c r="F333" s="1" t="s">
        <v>4873</v>
      </c>
      <c r="G333" s="1" t="s">
        <v>4869</v>
      </c>
      <c r="H333" s="1" t="s">
        <v>5020</v>
      </c>
      <c r="I333" s="1" t="s">
        <v>4896</v>
      </c>
      <c r="J333" s="1" t="s">
        <v>4911</v>
      </c>
    </row>
    <row r="334" spans="3:10" x14ac:dyDescent="0.25">
      <c r="C334" s="1" t="s">
        <v>3603</v>
      </c>
      <c r="D334" s="1" t="s">
        <v>3604</v>
      </c>
      <c r="E334" s="1" t="s">
        <v>4865</v>
      </c>
      <c r="F334" s="1" t="s">
        <v>4874</v>
      </c>
      <c r="G334" s="1" t="s">
        <v>4869</v>
      </c>
      <c r="H334" s="1" t="s">
        <v>4920</v>
      </c>
      <c r="I334" s="1" t="s">
        <v>4896</v>
      </c>
      <c r="J334" s="1" t="s">
        <v>4911</v>
      </c>
    </row>
    <row r="335" spans="3:10" x14ac:dyDescent="0.25">
      <c r="C335" t="s">
        <v>4363</v>
      </c>
      <c r="D335" s="13" t="s">
        <v>4365</v>
      </c>
      <c r="E335" s="13" t="s">
        <v>4863</v>
      </c>
      <c r="F335" s="13" t="s">
        <v>4873</v>
      </c>
      <c r="G335" s="13" t="s">
        <v>4869</v>
      </c>
      <c r="H335" s="13" t="s">
        <v>4926</v>
      </c>
      <c r="I335" s="13" t="s">
        <v>4896</v>
      </c>
      <c r="J335" s="13" t="s">
        <v>4911</v>
      </c>
    </row>
    <row r="336" spans="3:10" x14ac:dyDescent="0.25">
      <c r="C336" s="1" t="s">
        <v>4586</v>
      </c>
      <c r="D336" s="1" t="s">
        <v>4587</v>
      </c>
      <c r="E336" s="1" t="s">
        <v>4863</v>
      </c>
      <c r="F336" s="1" t="s">
        <v>4872</v>
      </c>
      <c r="G336" s="1" t="s">
        <v>4869</v>
      </c>
      <c r="H336" s="1" t="s">
        <v>4926</v>
      </c>
      <c r="I336" s="1" t="s">
        <v>4896</v>
      </c>
      <c r="J336" s="1" t="s">
        <v>4911</v>
      </c>
    </row>
    <row r="337" spans="3:10" x14ac:dyDescent="0.25">
      <c r="C337" s="1" t="s">
        <v>4635</v>
      </c>
      <c r="D337" s="1" t="s">
        <v>4636</v>
      </c>
      <c r="E337" s="1" t="s">
        <v>4865</v>
      </c>
      <c r="F337" s="1" t="s">
        <v>4873</v>
      </c>
      <c r="G337" s="1" t="s">
        <v>4869</v>
      </c>
      <c r="H337" s="1" t="s">
        <v>4918</v>
      </c>
      <c r="I337" s="1" t="s">
        <v>4896</v>
      </c>
      <c r="J337" s="1" t="s">
        <v>4911</v>
      </c>
    </row>
    <row r="338" spans="3:10" x14ac:dyDescent="0.25">
      <c r="C338" s="1" t="s">
        <v>1676</v>
      </c>
      <c r="D338" s="1"/>
      <c r="E338" s="1" t="s">
        <v>4863</v>
      </c>
      <c r="F338" s="1" t="s">
        <v>4874</v>
      </c>
      <c r="G338" s="1" t="s">
        <v>4869</v>
      </c>
      <c r="H338" s="1" t="s">
        <v>4936</v>
      </c>
      <c r="I338" s="1" t="s">
        <v>4896</v>
      </c>
      <c r="J338" s="1" t="s">
        <v>4911</v>
      </c>
    </row>
    <row r="339" spans="3:10" x14ac:dyDescent="0.25">
      <c r="C339" s="1">
        <v>0</v>
      </c>
      <c r="D339" s="1" t="s">
        <v>1686</v>
      </c>
      <c r="E339" s="1" t="s">
        <v>4865</v>
      </c>
      <c r="F339" s="1" t="s">
        <v>4873</v>
      </c>
      <c r="G339" s="1" t="s">
        <v>4869</v>
      </c>
      <c r="H339" s="1" t="s">
        <v>4920</v>
      </c>
      <c r="I339" s="1" t="s">
        <v>4896</v>
      </c>
      <c r="J339" s="1" t="s">
        <v>1483</v>
      </c>
    </row>
    <row r="340" spans="3:10" x14ac:dyDescent="0.25">
      <c r="C340" s="1" t="s">
        <v>1691</v>
      </c>
      <c r="D340" s="1" t="s">
        <v>1697</v>
      </c>
      <c r="E340" s="37" t="s">
        <v>4865</v>
      </c>
      <c r="F340" s="37" t="s">
        <v>4873</v>
      </c>
      <c r="G340" s="37" t="s">
        <v>4869</v>
      </c>
      <c r="H340" s="15" t="s">
        <v>4917</v>
      </c>
      <c r="I340" s="37" t="s">
        <v>4896</v>
      </c>
      <c r="J340" s="15" t="s">
        <v>4911</v>
      </c>
    </row>
    <row r="341" spans="3:10" x14ac:dyDescent="0.25">
      <c r="C341" s="1" t="s">
        <v>2783</v>
      </c>
      <c r="D341" s="1" t="s">
        <v>1805</v>
      </c>
      <c r="E341" s="1" t="s">
        <v>4865</v>
      </c>
      <c r="F341" s="1" t="s">
        <v>4875</v>
      </c>
      <c r="G341" s="1" t="s">
        <v>4869</v>
      </c>
      <c r="H341" s="1" t="s">
        <v>5179</v>
      </c>
      <c r="I341" s="1" t="s">
        <v>4896</v>
      </c>
      <c r="J341" s="1" t="s">
        <v>4911</v>
      </c>
    </row>
    <row r="342" spans="3:10" x14ac:dyDescent="0.25">
      <c r="C342" s="1" t="s">
        <v>2067</v>
      </c>
      <c r="D342" s="1" t="s">
        <v>2069</v>
      </c>
      <c r="E342" s="1" t="s">
        <v>4867</v>
      </c>
      <c r="F342" s="1" t="s">
        <v>4875</v>
      </c>
      <c r="G342" s="1" t="s">
        <v>4869</v>
      </c>
      <c r="H342" s="1" t="s">
        <v>4920</v>
      </c>
      <c r="I342" s="1" t="s">
        <v>4896</v>
      </c>
      <c r="J342" s="1" t="s">
        <v>4924</v>
      </c>
    </row>
    <row r="343" spans="3:10" x14ac:dyDescent="0.25">
      <c r="C343" s="1" t="s">
        <v>2784</v>
      </c>
      <c r="D343" s="1" t="s">
        <v>2073</v>
      </c>
      <c r="E343" s="1" t="s">
        <v>4865</v>
      </c>
      <c r="F343" s="1" t="s">
        <v>4875</v>
      </c>
      <c r="G343" s="1" t="s">
        <v>4869</v>
      </c>
      <c r="H343" s="1" t="s">
        <v>4921</v>
      </c>
      <c r="I343" s="1" t="s">
        <v>4896</v>
      </c>
      <c r="J343" s="1" t="s">
        <v>4943</v>
      </c>
    </row>
    <row r="344" spans="3:10" x14ac:dyDescent="0.25">
      <c r="C344" s="1" t="s">
        <v>2116</v>
      </c>
      <c r="D344" s="1" t="s">
        <v>2117</v>
      </c>
      <c r="E344" s="1" t="s">
        <v>4863</v>
      </c>
      <c r="F344" s="1" t="s">
        <v>4872</v>
      </c>
      <c r="G344" s="1" t="s">
        <v>4869</v>
      </c>
      <c r="H344" s="1" t="s">
        <v>4933</v>
      </c>
      <c r="I344" s="1" t="s">
        <v>4896</v>
      </c>
      <c r="J344" s="1" t="s">
        <v>4911</v>
      </c>
    </row>
    <row r="345" spans="3:10" x14ac:dyDescent="0.25">
      <c r="C345" s="1" t="s">
        <v>2596</v>
      </c>
      <c r="D345" s="1" t="s">
        <v>2597</v>
      </c>
      <c r="E345" s="1" t="s">
        <v>4865</v>
      </c>
      <c r="F345" s="1" t="s">
        <v>4874</v>
      </c>
      <c r="G345" s="1" t="s">
        <v>4869</v>
      </c>
      <c r="H345" s="1" t="s">
        <v>4920</v>
      </c>
      <c r="I345" s="1" t="s">
        <v>4896</v>
      </c>
      <c r="J345" s="1" t="s">
        <v>4911</v>
      </c>
    </row>
    <row r="346" spans="3:10" x14ac:dyDescent="0.25">
      <c r="C346" s="1" t="s">
        <v>2609</v>
      </c>
      <c r="D346" s="1" t="s">
        <v>2610</v>
      </c>
      <c r="E346" s="1" t="s">
        <v>4865</v>
      </c>
      <c r="F346" s="1" t="s">
        <v>4874</v>
      </c>
      <c r="G346" s="1" t="s">
        <v>4869</v>
      </c>
      <c r="H346" s="1" t="s">
        <v>4945</v>
      </c>
      <c r="I346" s="1" t="s">
        <v>4896</v>
      </c>
      <c r="J346" s="1" t="s">
        <v>4911</v>
      </c>
    </row>
    <row r="347" spans="3:10" x14ac:dyDescent="0.25">
      <c r="C347" s="1" t="s">
        <v>2615</v>
      </c>
      <c r="D347" s="1" t="s">
        <v>2617</v>
      </c>
      <c r="E347" s="1" t="s">
        <v>4863</v>
      </c>
      <c r="F347" s="1" t="s">
        <v>4875</v>
      </c>
      <c r="G347" s="1" t="s">
        <v>4868</v>
      </c>
      <c r="H347" s="1" t="s">
        <v>4948</v>
      </c>
      <c r="I347" s="1" t="s">
        <v>4896</v>
      </c>
      <c r="J347" s="15" t="s">
        <v>4911</v>
      </c>
    </row>
    <row r="348" spans="3:10" x14ac:dyDescent="0.25">
      <c r="C348" s="1" t="s">
        <v>2621</v>
      </c>
      <c r="D348" s="1" t="s">
        <v>2623</v>
      </c>
      <c r="E348" s="1" t="s">
        <v>4863</v>
      </c>
      <c r="F348" s="1" t="s">
        <v>4873</v>
      </c>
      <c r="G348" s="1" t="s">
        <v>4869</v>
      </c>
      <c r="H348" s="1" t="s">
        <v>5020</v>
      </c>
      <c r="I348" s="1" t="s">
        <v>4896</v>
      </c>
      <c r="J348" s="1" t="s">
        <v>4911</v>
      </c>
    </row>
    <row r="349" spans="3:10" x14ac:dyDescent="0.25">
      <c r="C349" s="1" t="s">
        <v>2629</v>
      </c>
      <c r="D349" s="1" t="s">
        <v>2631</v>
      </c>
      <c r="E349" s="1" t="s">
        <v>4864</v>
      </c>
      <c r="F349" s="1" t="s">
        <v>4874</v>
      </c>
      <c r="G349" s="1" t="s">
        <v>4869</v>
      </c>
      <c r="H349" s="1" t="s">
        <v>4921</v>
      </c>
      <c r="I349" s="1" t="s">
        <v>4896</v>
      </c>
      <c r="J349" s="1" t="s">
        <v>4943</v>
      </c>
    </row>
    <row r="350" spans="3:10" x14ac:dyDescent="0.25">
      <c r="C350" s="1" t="s">
        <v>3303</v>
      </c>
      <c r="D350" s="1" t="s">
        <v>3304</v>
      </c>
      <c r="E350" s="1" t="s">
        <v>4865</v>
      </c>
      <c r="F350" s="1" t="s">
        <v>4873</v>
      </c>
      <c r="G350" s="1" t="s">
        <v>4869</v>
      </c>
      <c r="H350" s="1" t="s">
        <v>4920</v>
      </c>
      <c r="I350" s="1" t="s">
        <v>4896</v>
      </c>
      <c r="J350" s="1" t="s">
        <v>4911</v>
      </c>
    </row>
    <row r="351" spans="3:10" x14ac:dyDescent="0.25">
      <c r="C351" s="1" t="s">
        <v>3310</v>
      </c>
      <c r="D351" s="1" t="s">
        <v>3311</v>
      </c>
      <c r="E351" s="1" t="s">
        <v>4863</v>
      </c>
      <c r="F351" s="1" t="s">
        <v>4873</v>
      </c>
      <c r="G351" s="1" t="s">
        <v>4869</v>
      </c>
      <c r="H351" s="1" t="s">
        <v>5098</v>
      </c>
      <c r="I351" s="1" t="s">
        <v>4896</v>
      </c>
      <c r="J351" s="1" t="s">
        <v>4911</v>
      </c>
    </row>
    <row r="352" spans="3:10" x14ac:dyDescent="0.25">
      <c r="C352" s="1" t="s">
        <v>3314</v>
      </c>
      <c r="D352" s="1" t="s">
        <v>3315</v>
      </c>
      <c r="E352" s="1" t="s">
        <v>4863</v>
      </c>
      <c r="F352" s="1" t="s">
        <v>4875</v>
      </c>
      <c r="G352" s="1" t="s">
        <v>4868</v>
      </c>
      <c r="H352" s="1" t="s">
        <v>5099</v>
      </c>
      <c r="I352" s="1" t="s">
        <v>4896</v>
      </c>
      <c r="J352" s="1" t="s">
        <v>4911</v>
      </c>
    </row>
    <row r="353" spans="3:10" x14ac:dyDescent="0.25">
      <c r="C353" s="1" t="s">
        <v>3324</v>
      </c>
      <c r="D353" s="1" t="s">
        <v>3325</v>
      </c>
      <c r="E353" s="1" t="s">
        <v>4867</v>
      </c>
      <c r="F353" s="1" t="s">
        <v>4875</v>
      </c>
      <c r="G353" s="1" t="s">
        <v>4869</v>
      </c>
      <c r="H353" s="1" t="s">
        <v>4920</v>
      </c>
      <c r="I353" s="1" t="s">
        <v>4896</v>
      </c>
      <c r="J353" s="1" t="s">
        <v>4924</v>
      </c>
    </row>
    <row r="354" spans="3:10" x14ac:dyDescent="0.25">
      <c r="C354" s="1" t="s">
        <v>3334</v>
      </c>
      <c r="D354" s="1" t="s">
        <v>3304</v>
      </c>
      <c r="E354" s="1" t="s">
        <v>4863</v>
      </c>
      <c r="F354" s="1" t="s">
        <v>4872</v>
      </c>
      <c r="G354" s="1" t="s">
        <v>4869</v>
      </c>
      <c r="H354" s="1" t="s">
        <v>4933</v>
      </c>
      <c r="I354" s="1" t="s">
        <v>4896</v>
      </c>
      <c r="J354" s="1" t="s">
        <v>4911</v>
      </c>
    </row>
    <row r="355" spans="3:10" x14ac:dyDescent="0.25">
      <c r="C355" s="1" t="s">
        <v>3336</v>
      </c>
      <c r="D355" s="1" t="s">
        <v>3337</v>
      </c>
      <c r="E355" s="1" t="s">
        <v>4865</v>
      </c>
      <c r="F355" s="1" t="s">
        <v>4874</v>
      </c>
      <c r="G355" s="1" t="s">
        <v>4869</v>
      </c>
      <c r="H355" s="1" t="s">
        <v>4918</v>
      </c>
      <c r="I355" s="1" t="s">
        <v>4896</v>
      </c>
      <c r="J355" s="1" t="s">
        <v>4911</v>
      </c>
    </row>
    <row r="356" spans="3:10" x14ac:dyDescent="0.25">
      <c r="C356" s="1" t="s">
        <v>3342</v>
      </c>
      <c r="D356" s="1" t="s">
        <v>3343</v>
      </c>
      <c r="E356" s="1" t="s">
        <v>4867</v>
      </c>
      <c r="F356" s="1" t="s">
        <v>4875</v>
      </c>
      <c r="G356" s="1" t="s">
        <v>5100</v>
      </c>
      <c r="H356" s="1" t="s">
        <v>4949</v>
      </c>
      <c r="I356" s="1" t="s">
        <v>4896</v>
      </c>
      <c r="J356" s="1" t="s">
        <v>4911</v>
      </c>
    </row>
    <row r="357" spans="3:10" x14ac:dyDescent="0.25">
      <c r="C357" s="1" t="s">
        <v>3350</v>
      </c>
      <c r="D357" s="1" t="s">
        <v>3351</v>
      </c>
      <c r="E357" s="1" t="s">
        <v>4865</v>
      </c>
      <c r="F357" s="1" t="s">
        <v>4873</v>
      </c>
      <c r="G357" s="1" t="s">
        <v>4869</v>
      </c>
      <c r="H357" s="1" t="s">
        <v>4933</v>
      </c>
      <c r="I357" s="1" t="s">
        <v>4896</v>
      </c>
      <c r="J357" s="1" t="s">
        <v>4911</v>
      </c>
    </row>
    <row r="358" spans="3:10" x14ac:dyDescent="0.25">
      <c r="C358" s="1" t="s">
        <v>3613</v>
      </c>
      <c r="D358" s="1" t="s">
        <v>1483</v>
      </c>
      <c r="E358" s="1" t="s">
        <v>4863</v>
      </c>
      <c r="F358" s="1" t="s">
        <v>4873</v>
      </c>
      <c r="G358" s="1" t="s">
        <v>4869</v>
      </c>
      <c r="H358" s="1" t="s">
        <v>4920</v>
      </c>
      <c r="I358" s="1" t="s">
        <v>4896</v>
      </c>
      <c r="J358" s="1" t="s">
        <v>4911</v>
      </c>
    </row>
    <row r="359" spans="3:10" x14ac:dyDescent="0.25">
      <c r="C359" s="1" t="s">
        <v>3735</v>
      </c>
      <c r="D359" s="1" t="s">
        <v>3736</v>
      </c>
      <c r="E359" s="1" t="s">
        <v>4867</v>
      </c>
      <c r="F359" s="1" t="s">
        <v>4875</v>
      </c>
      <c r="G359" s="1" t="s">
        <v>4869</v>
      </c>
      <c r="H359" s="1" t="s">
        <v>5010</v>
      </c>
      <c r="I359" s="1" t="s">
        <v>4896</v>
      </c>
      <c r="J359" s="1" t="s">
        <v>4911</v>
      </c>
    </row>
    <row r="360" spans="3:10" x14ac:dyDescent="0.25">
      <c r="C360" s="1" t="s">
        <v>3752</v>
      </c>
      <c r="D360" s="1" t="s">
        <v>3753</v>
      </c>
      <c r="E360" s="1" t="s">
        <v>4863</v>
      </c>
      <c r="F360" s="1" t="s">
        <v>4873</v>
      </c>
      <c r="G360" s="1" t="s">
        <v>4869</v>
      </c>
      <c r="H360" s="1" t="s">
        <v>4933</v>
      </c>
      <c r="I360" s="1" t="s">
        <v>4896</v>
      </c>
      <c r="J360" s="1" t="s">
        <v>4911</v>
      </c>
    </row>
    <row r="361" spans="3:10" x14ac:dyDescent="0.25">
      <c r="C361" s="1" t="s">
        <v>3851</v>
      </c>
      <c r="D361" s="1" t="s">
        <v>3852</v>
      </c>
      <c r="E361" s="1" t="s">
        <v>4865</v>
      </c>
      <c r="F361" s="1" t="s">
        <v>4873</v>
      </c>
      <c r="G361" s="1" t="s">
        <v>4869</v>
      </c>
      <c r="H361" s="1" t="s">
        <v>4917</v>
      </c>
      <c r="I361" s="1" t="s">
        <v>4896</v>
      </c>
      <c r="J361" s="1" t="s">
        <v>4911</v>
      </c>
    </row>
    <row r="362" spans="3:10" x14ac:dyDescent="0.25">
      <c r="C362" s="13" t="s">
        <v>3858</v>
      </c>
      <c r="D362" s="1" t="s">
        <v>3857</v>
      </c>
      <c r="E362" s="1" t="s">
        <v>4867</v>
      </c>
      <c r="F362" s="1" t="s">
        <v>4875</v>
      </c>
      <c r="G362" s="1" t="s">
        <v>4869</v>
      </c>
      <c r="H362" s="1" t="s">
        <v>5002</v>
      </c>
      <c r="I362" s="1" t="s">
        <v>4896</v>
      </c>
      <c r="J362" s="1" t="s">
        <v>4911</v>
      </c>
    </row>
    <row r="363" spans="3:10" x14ac:dyDescent="0.25">
      <c r="C363" s="1" t="s">
        <v>4038</v>
      </c>
      <c r="D363" s="1" t="s">
        <v>4039</v>
      </c>
      <c r="E363" s="1" t="s">
        <v>4865</v>
      </c>
      <c r="F363" s="1" t="s">
        <v>4873</v>
      </c>
      <c r="G363" s="1" t="s">
        <v>4869</v>
      </c>
      <c r="H363" s="1" t="s">
        <v>4917</v>
      </c>
      <c r="I363" s="1" t="s">
        <v>4896</v>
      </c>
      <c r="J363" s="1" t="s">
        <v>4911</v>
      </c>
    </row>
    <row r="364" spans="3:10" x14ac:dyDescent="0.25">
      <c r="C364" s="1" t="s">
        <v>4056</v>
      </c>
      <c r="D364" s="1" t="s">
        <v>4058</v>
      </c>
      <c r="E364" s="1" t="s">
        <v>4863</v>
      </c>
      <c r="F364" s="1" t="s">
        <v>4872</v>
      </c>
      <c r="G364" s="1" t="s">
        <v>4869</v>
      </c>
      <c r="H364" s="1" t="s">
        <v>4933</v>
      </c>
      <c r="I364" s="1" t="s">
        <v>4896</v>
      </c>
      <c r="J364" s="1" t="s">
        <v>4911</v>
      </c>
    </row>
    <row r="365" spans="3:10" x14ac:dyDescent="0.25">
      <c r="C365" s="1" t="s">
        <v>4093</v>
      </c>
      <c r="D365" s="1" t="s">
        <v>4094</v>
      </c>
      <c r="E365" s="1" t="s">
        <v>4865</v>
      </c>
      <c r="F365" s="1" t="s">
        <v>4873</v>
      </c>
      <c r="G365" s="1" t="s">
        <v>4869</v>
      </c>
      <c r="H365" s="1" t="s">
        <v>5006</v>
      </c>
      <c r="I365" s="1" t="s">
        <v>4896</v>
      </c>
      <c r="J365" s="1" t="s">
        <v>4911</v>
      </c>
    </row>
    <row r="366" spans="3:10" x14ac:dyDescent="0.25">
      <c r="C366" s="1" t="s">
        <v>4104</v>
      </c>
      <c r="D366" s="1" t="s">
        <v>4106</v>
      </c>
      <c r="E366" s="1" t="s">
        <v>4867</v>
      </c>
      <c r="F366" s="1" t="s">
        <v>4875</v>
      </c>
      <c r="G366" s="1" t="s">
        <v>4869</v>
      </c>
      <c r="H366" s="1" t="s">
        <v>4925</v>
      </c>
      <c r="I366" s="1" t="s">
        <v>4896</v>
      </c>
      <c r="J366" s="1" t="s">
        <v>4911</v>
      </c>
    </row>
    <row r="367" spans="3:10" x14ac:dyDescent="0.25">
      <c r="C367" s="1" t="s">
        <v>4115</v>
      </c>
      <c r="D367" s="1" t="s">
        <v>4117</v>
      </c>
      <c r="E367" s="1" t="s">
        <v>4865</v>
      </c>
      <c r="F367" s="1" t="s">
        <v>4875</v>
      </c>
      <c r="G367" s="1" t="s">
        <v>4869</v>
      </c>
      <c r="H367" s="1" t="s">
        <v>4927</v>
      </c>
      <c r="I367" s="1" t="s">
        <v>4896</v>
      </c>
      <c r="J367" s="1" t="s">
        <v>4943</v>
      </c>
    </row>
    <row r="368" spans="3:10" x14ac:dyDescent="0.25">
      <c r="C368" s="1" t="s">
        <v>4127</v>
      </c>
      <c r="D368" s="1" t="s">
        <v>4128</v>
      </c>
      <c r="E368" s="1" t="s">
        <v>4865</v>
      </c>
      <c r="F368" s="1" t="s">
        <v>4874</v>
      </c>
      <c r="G368" s="1" t="s">
        <v>4869</v>
      </c>
      <c r="H368" s="1" t="s">
        <v>4936</v>
      </c>
      <c r="I368" s="1" t="s">
        <v>4896</v>
      </c>
      <c r="J368" s="1" t="s">
        <v>4911</v>
      </c>
    </row>
    <row r="369" spans="3:10" x14ac:dyDescent="0.25">
      <c r="C369" s="1" t="s">
        <v>4250</v>
      </c>
      <c r="D369" s="1" t="s">
        <v>4252</v>
      </c>
      <c r="E369" s="1" t="s">
        <v>4867</v>
      </c>
      <c r="F369" s="1" t="s">
        <v>4875</v>
      </c>
      <c r="G369" s="1" t="s">
        <v>4869</v>
      </c>
      <c r="H369" s="1" t="s">
        <v>4925</v>
      </c>
      <c r="I369" s="1" t="s">
        <v>4896</v>
      </c>
      <c r="J369" s="1" t="s">
        <v>4924</v>
      </c>
    </row>
    <row r="370" spans="3:10" x14ac:dyDescent="0.25">
      <c r="C370" s="1" t="s">
        <v>4389</v>
      </c>
      <c r="D370" s="1" t="s">
        <v>4390</v>
      </c>
      <c r="E370" s="1" t="s">
        <v>4865</v>
      </c>
      <c r="F370" s="1" t="s">
        <v>4873</v>
      </c>
      <c r="G370" s="1" t="s">
        <v>4869</v>
      </c>
      <c r="H370" s="1" t="s">
        <v>5020</v>
      </c>
      <c r="I370" s="1" t="s">
        <v>4896</v>
      </c>
      <c r="J370" s="1" t="s">
        <v>4911</v>
      </c>
    </row>
    <row r="371" spans="3:10" x14ac:dyDescent="0.25">
      <c r="C371" s="1" t="s">
        <v>4603</v>
      </c>
      <c r="D371" s="1" t="s">
        <v>4604</v>
      </c>
      <c r="E371" s="1" t="s">
        <v>4867</v>
      </c>
      <c r="F371" s="1" t="s">
        <v>4875</v>
      </c>
      <c r="G371" s="1" t="s">
        <v>4869</v>
      </c>
      <c r="H371" s="1" t="s">
        <v>4920</v>
      </c>
      <c r="I371" s="1" t="s">
        <v>4896</v>
      </c>
      <c r="J371" s="1" t="s">
        <v>4911</v>
      </c>
    </row>
    <row r="372" spans="3:10" x14ac:dyDescent="0.25">
      <c r="C372" s="1" t="s">
        <v>4654</v>
      </c>
      <c r="D372" s="1" t="s">
        <v>4655</v>
      </c>
      <c r="E372" s="1" t="s">
        <v>4863</v>
      </c>
      <c r="F372" s="1" t="s">
        <v>4874</v>
      </c>
      <c r="G372" s="1" t="s">
        <v>4871</v>
      </c>
      <c r="H372" s="1" t="s">
        <v>4948</v>
      </c>
      <c r="I372" s="1" t="s">
        <v>4896</v>
      </c>
      <c r="J372" s="1" t="s">
        <v>4911</v>
      </c>
    </row>
    <row r="373" spans="3:10" x14ac:dyDescent="0.25">
      <c r="C373" s="1" t="s">
        <v>4810</v>
      </c>
      <c r="D373" s="1" t="s">
        <v>4813</v>
      </c>
      <c r="E373" s="1" t="s">
        <v>4865</v>
      </c>
      <c r="F373" s="1" t="s">
        <v>4873</v>
      </c>
      <c r="G373" s="1" t="s">
        <v>4869</v>
      </c>
      <c r="H373" s="1" t="s">
        <v>4926</v>
      </c>
      <c r="I373" s="1" t="s">
        <v>4896</v>
      </c>
      <c r="J373" s="1" t="s">
        <v>4911</v>
      </c>
    </row>
    <row r="374" spans="3:10" x14ac:dyDescent="0.25">
      <c r="C374" s="1" t="s">
        <v>4815</v>
      </c>
      <c r="D374" s="1" t="s">
        <v>4816</v>
      </c>
      <c r="E374" s="1" t="s">
        <v>4865</v>
      </c>
      <c r="F374" s="1" t="s">
        <v>4874</v>
      </c>
      <c r="G374" s="1" t="s">
        <v>4869</v>
      </c>
      <c r="H374" s="1" t="s">
        <v>4920</v>
      </c>
      <c r="I374" s="1" t="s">
        <v>4896</v>
      </c>
      <c r="J374" s="1" t="s">
        <v>4924</v>
      </c>
    </row>
    <row r="375" spans="3:10" x14ac:dyDescent="0.25">
      <c r="C375" s="1" t="s">
        <v>4828</v>
      </c>
      <c r="D375" s="1" t="s">
        <v>4829</v>
      </c>
      <c r="E375" s="1" t="s">
        <v>4867</v>
      </c>
      <c r="F375" s="1" t="s">
        <v>4875</v>
      </c>
      <c r="G375" s="1" t="s">
        <v>4869</v>
      </c>
      <c r="H375" s="1" t="s">
        <v>4925</v>
      </c>
      <c r="I375" s="1" t="s">
        <v>4896</v>
      </c>
      <c r="J375" s="1" t="s">
        <v>5090</v>
      </c>
    </row>
    <row r="376" spans="3:10" x14ac:dyDescent="0.25">
      <c r="C376" s="1" t="s">
        <v>4836</v>
      </c>
      <c r="D376" s="1" t="s">
        <v>4837</v>
      </c>
      <c r="E376" s="1" t="s">
        <v>4865</v>
      </c>
      <c r="F376" s="1" t="s">
        <v>5101</v>
      </c>
      <c r="G376" s="1" t="s">
        <v>4869</v>
      </c>
      <c r="H376" s="1" t="s">
        <v>5010</v>
      </c>
      <c r="I376" s="1" t="s">
        <v>4896</v>
      </c>
      <c r="J376" s="1" t="s">
        <v>4911</v>
      </c>
    </row>
    <row r="377" spans="3:10" x14ac:dyDescent="0.25">
      <c r="C377" s="1" t="s">
        <v>4958</v>
      </c>
      <c r="D377" s="1" t="s">
        <v>4980</v>
      </c>
      <c r="E377" s="1" t="s">
        <v>4865</v>
      </c>
      <c r="F377" s="1" t="s">
        <v>4874</v>
      </c>
      <c r="G377" s="1" t="s">
        <v>4869</v>
      </c>
      <c r="H377" s="1" t="s">
        <v>4921</v>
      </c>
      <c r="I377" s="1" t="s">
        <v>4896</v>
      </c>
      <c r="J377" s="1" t="s">
        <v>4911</v>
      </c>
    </row>
    <row r="378" spans="3:10" x14ac:dyDescent="0.25">
      <c r="C378" s="1" t="s">
        <v>5034</v>
      </c>
      <c r="D378" s="1" t="s">
        <v>5035</v>
      </c>
      <c r="E378" s="1" t="s">
        <v>4865</v>
      </c>
      <c r="F378" s="1" t="s">
        <v>4874</v>
      </c>
      <c r="G378" s="1" t="s">
        <v>4869</v>
      </c>
      <c r="H378" s="1" t="s">
        <v>5020</v>
      </c>
      <c r="I378" s="1" t="s">
        <v>4896</v>
      </c>
      <c r="J378" s="1" t="s">
        <v>4924</v>
      </c>
    </row>
    <row r="379" spans="3:10" x14ac:dyDescent="0.25">
      <c r="C379" s="1" t="s">
        <v>5045</v>
      </c>
      <c r="D379" s="1" t="s">
        <v>5047</v>
      </c>
      <c r="E379" s="1" t="s">
        <v>4865</v>
      </c>
      <c r="F379" s="1" t="s">
        <v>4874</v>
      </c>
      <c r="G379" s="1" t="s">
        <v>4869</v>
      </c>
      <c r="H379" s="1" t="s">
        <v>4953</v>
      </c>
      <c r="I379" s="1" t="s">
        <v>4896</v>
      </c>
      <c r="J379" s="1" t="s">
        <v>4924</v>
      </c>
    </row>
    <row r="380" spans="3:10" x14ac:dyDescent="0.25">
      <c r="C380" s="1" t="s">
        <v>5166</v>
      </c>
      <c r="D380" s="1" t="s">
        <v>5168</v>
      </c>
      <c r="E380" s="1"/>
      <c r="F380" s="1"/>
      <c r="G380" s="1"/>
      <c r="H380" s="1"/>
      <c r="I380" s="1"/>
      <c r="J380" s="1"/>
    </row>
    <row r="381" spans="3:10" x14ac:dyDescent="0.25">
      <c r="C381" s="1" t="s">
        <v>1700</v>
      </c>
      <c r="D381" s="1" t="s">
        <v>1702</v>
      </c>
      <c r="E381" s="1" t="s">
        <v>4865</v>
      </c>
      <c r="F381" s="1" t="s">
        <v>4874</v>
      </c>
      <c r="G381" s="1" t="s">
        <v>4869</v>
      </c>
      <c r="H381" s="1" t="s">
        <v>5099</v>
      </c>
      <c r="I381" s="1" t="s">
        <v>4896</v>
      </c>
      <c r="J381" s="1" t="s">
        <v>4911</v>
      </c>
    </row>
    <row r="382" spans="3:10" x14ac:dyDescent="0.25">
      <c r="C382" s="1" t="s">
        <v>1705</v>
      </c>
      <c r="D382" s="1" t="s">
        <v>1706</v>
      </c>
      <c r="E382" s="1" t="s">
        <v>4867</v>
      </c>
      <c r="F382" s="1" t="s">
        <v>4875</v>
      </c>
      <c r="G382" s="1" t="s">
        <v>4869</v>
      </c>
      <c r="H382" s="1" t="s">
        <v>4925</v>
      </c>
      <c r="I382" s="1" t="s">
        <v>4896</v>
      </c>
      <c r="J382" s="1" t="s">
        <v>4911</v>
      </c>
    </row>
    <row r="383" spans="3:10" x14ac:dyDescent="0.25">
      <c r="C383" s="1" t="s">
        <v>1713</v>
      </c>
      <c r="D383" s="1" t="s">
        <v>1714</v>
      </c>
      <c r="E383" s="1" t="s">
        <v>4865</v>
      </c>
      <c r="F383" s="1" t="s">
        <v>4873</v>
      </c>
      <c r="G383" s="1" t="s">
        <v>4869</v>
      </c>
      <c r="H383" s="1" t="s">
        <v>5009</v>
      </c>
      <c r="I383" s="1" t="s">
        <v>4896</v>
      </c>
      <c r="J383" s="1" t="s">
        <v>4911</v>
      </c>
    </row>
    <row r="384" spans="3:10" x14ac:dyDescent="0.25">
      <c r="C384" s="1" t="s">
        <v>1815</v>
      </c>
      <c r="D384" s="1" t="s">
        <v>1816</v>
      </c>
      <c r="E384" s="1" t="s">
        <v>4865</v>
      </c>
      <c r="F384" s="1" t="s">
        <v>4873</v>
      </c>
      <c r="G384" s="1" t="s">
        <v>4869</v>
      </c>
      <c r="H384" s="1" t="s">
        <v>4956</v>
      </c>
      <c r="I384" s="1" t="s">
        <v>4896</v>
      </c>
      <c r="J384" s="1" t="s">
        <v>4911</v>
      </c>
    </row>
    <row r="385" spans="3:10" x14ac:dyDescent="0.25">
      <c r="C385" s="1" t="s">
        <v>2639</v>
      </c>
      <c r="D385" s="1" t="s">
        <v>2640</v>
      </c>
      <c r="E385" s="1" t="s">
        <v>4865</v>
      </c>
      <c r="F385" s="1" t="s">
        <v>4875</v>
      </c>
      <c r="G385" s="1" t="s">
        <v>4869</v>
      </c>
      <c r="H385" s="1" t="s">
        <v>5020</v>
      </c>
      <c r="I385" s="1" t="s">
        <v>4896</v>
      </c>
      <c r="J385" s="1" t="s">
        <v>4924</v>
      </c>
    </row>
    <row r="386" spans="3:10" x14ac:dyDescent="0.25">
      <c r="C386" s="1" t="s">
        <v>2646</v>
      </c>
      <c r="D386" s="1" t="s">
        <v>2647</v>
      </c>
      <c r="E386" s="1" t="s">
        <v>4865</v>
      </c>
      <c r="F386" s="1" t="s">
        <v>4875</v>
      </c>
      <c r="G386" s="1" t="s">
        <v>4871</v>
      </c>
      <c r="H386" s="1" t="s">
        <v>5020</v>
      </c>
      <c r="I386" s="1" t="s">
        <v>4896</v>
      </c>
      <c r="J386" s="1" t="s">
        <v>4911</v>
      </c>
    </row>
    <row r="387" spans="3:10" x14ac:dyDescent="0.25">
      <c r="C387" s="1" t="s">
        <v>2785</v>
      </c>
      <c r="D387" s="1" t="s">
        <v>2654</v>
      </c>
      <c r="E387" s="1" t="s">
        <v>4864</v>
      </c>
      <c r="F387" s="1" t="s">
        <v>4874</v>
      </c>
      <c r="G387" s="1" t="s">
        <v>4869</v>
      </c>
      <c r="H387" s="1" t="s">
        <v>4920</v>
      </c>
      <c r="I387" s="1" t="s">
        <v>4896</v>
      </c>
      <c r="J387" s="1" t="s">
        <v>4946</v>
      </c>
    </row>
    <row r="388" spans="3:10" x14ac:dyDescent="0.25">
      <c r="C388" s="1" t="s">
        <v>2661</v>
      </c>
      <c r="D388" s="1" t="s">
        <v>2662</v>
      </c>
      <c r="E388" s="1" t="s">
        <v>4867</v>
      </c>
      <c r="F388" s="1" t="s">
        <v>4875</v>
      </c>
      <c r="G388" s="1" t="s">
        <v>4869</v>
      </c>
      <c r="H388" s="1" t="s">
        <v>4920</v>
      </c>
      <c r="I388" s="1" t="s">
        <v>4896</v>
      </c>
      <c r="J388" s="1" t="s">
        <v>4924</v>
      </c>
    </row>
    <row r="389" spans="3:10" x14ac:dyDescent="0.25">
      <c r="C389" s="1" t="s">
        <v>2665</v>
      </c>
      <c r="D389" s="1" t="s">
        <v>2666</v>
      </c>
      <c r="E389" s="1" t="s">
        <v>4864</v>
      </c>
      <c r="F389" s="1" t="s">
        <v>4875</v>
      </c>
      <c r="G389" s="1" t="s">
        <v>4869</v>
      </c>
      <c r="H389" s="1" t="s">
        <v>5013</v>
      </c>
      <c r="I389" s="1" t="s">
        <v>4896</v>
      </c>
      <c r="J389" s="1" t="s">
        <v>4941</v>
      </c>
    </row>
    <row r="390" spans="3:10" x14ac:dyDescent="0.25">
      <c r="C390" s="1" t="s">
        <v>2670</v>
      </c>
      <c r="D390" s="1" t="s">
        <v>2672</v>
      </c>
      <c r="E390" s="1" t="s">
        <v>4867</v>
      </c>
      <c r="F390" s="1" t="s">
        <v>4875</v>
      </c>
      <c r="G390" s="1" t="s">
        <v>4869</v>
      </c>
      <c r="H390" s="1" t="s">
        <v>4918</v>
      </c>
      <c r="I390" s="1" t="s">
        <v>4896</v>
      </c>
      <c r="J390" s="1" t="s">
        <v>4911</v>
      </c>
    </row>
    <row r="391" spans="3:10" x14ac:dyDescent="0.25">
      <c r="C391" s="1" t="s">
        <v>2678</v>
      </c>
      <c r="D391" s="1" t="s">
        <v>2679</v>
      </c>
      <c r="E391" s="1" t="s">
        <v>4865</v>
      </c>
      <c r="F391" s="1" t="s">
        <v>4874</v>
      </c>
      <c r="G391" s="1" t="s">
        <v>4869</v>
      </c>
      <c r="H391" s="1" t="s">
        <v>4933</v>
      </c>
      <c r="I391" s="1" t="s">
        <v>4896</v>
      </c>
      <c r="J391" s="1" t="s">
        <v>4928</v>
      </c>
    </row>
    <row r="392" spans="3:10" x14ac:dyDescent="0.25">
      <c r="C392" s="1" t="s">
        <v>2730</v>
      </c>
      <c r="D392" s="1" t="s">
        <v>2731</v>
      </c>
      <c r="E392" s="1" t="s">
        <v>4864</v>
      </c>
      <c r="F392" s="1" t="s">
        <v>4874</v>
      </c>
      <c r="G392" s="1" t="s">
        <v>4869</v>
      </c>
      <c r="H392" s="1" t="s">
        <v>5013</v>
      </c>
      <c r="I392" s="1" t="s">
        <v>4896</v>
      </c>
      <c r="J392" s="1" t="s">
        <v>4924</v>
      </c>
    </row>
    <row r="393" spans="3:10" x14ac:dyDescent="0.25">
      <c r="C393" s="1" t="s">
        <v>3354</v>
      </c>
      <c r="D393" s="1" t="s">
        <v>3355</v>
      </c>
      <c r="E393" s="1" t="s">
        <v>4865</v>
      </c>
      <c r="F393" s="1" t="s">
        <v>4874</v>
      </c>
      <c r="G393" s="1" t="s">
        <v>4869</v>
      </c>
      <c r="H393" s="1" t="s">
        <v>5103</v>
      </c>
      <c r="I393" s="1" t="s">
        <v>4896</v>
      </c>
      <c r="J393" s="1" t="s">
        <v>4911</v>
      </c>
    </row>
    <row r="394" spans="3:10" x14ac:dyDescent="0.25">
      <c r="C394" s="1" t="s">
        <v>3359</v>
      </c>
      <c r="D394" s="1" t="s">
        <v>1483</v>
      </c>
      <c r="E394" s="1" t="s">
        <v>4867</v>
      </c>
      <c r="F394" s="1" t="s">
        <v>4875</v>
      </c>
      <c r="G394" s="1" t="s">
        <v>4869</v>
      </c>
      <c r="H394" s="1" t="s">
        <v>4953</v>
      </c>
      <c r="I394" s="1" t="s">
        <v>4896</v>
      </c>
      <c r="J394" s="1" t="s">
        <v>4924</v>
      </c>
    </row>
    <row r="395" spans="3:10" x14ac:dyDescent="0.25">
      <c r="C395" s="1" t="s">
        <v>3618</v>
      </c>
      <c r="D395" s="1" t="s">
        <v>3619</v>
      </c>
      <c r="E395" s="1" t="s">
        <v>4865</v>
      </c>
      <c r="F395" s="1" t="s">
        <v>4873</v>
      </c>
      <c r="G395" s="1" t="s">
        <v>4869</v>
      </c>
      <c r="H395" s="1" t="s">
        <v>4922</v>
      </c>
      <c r="I395" s="1" t="s">
        <v>4896</v>
      </c>
      <c r="J395" s="1" t="s">
        <v>4911</v>
      </c>
    </row>
    <row r="396" spans="3:10" x14ac:dyDescent="0.25">
      <c r="C396" s="1" t="s">
        <v>3704</v>
      </c>
      <c r="D396" s="1" t="s">
        <v>3705</v>
      </c>
      <c r="E396" s="1" t="s">
        <v>4863</v>
      </c>
      <c r="F396" s="1" t="s">
        <v>4873</v>
      </c>
      <c r="G396" s="1" t="s">
        <v>4869</v>
      </c>
      <c r="H396" s="1" t="s">
        <v>4920</v>
      </c>
      <c r="I396" s="1" t="s">
        <v>4896</v>
      </c>
      <c r="J396" s="1" t="s">
        <v>4911</v>
      </c>
    </row>
    <row r="397" spans="3:10" x14ac:dyDescent="0.25">
      <c r="C397" s="1" t="s">
        <v>3886</v>
      </c>
      <c r="D397" s="1" t="s">
        <v>1483</v>
      </c>
      <c r="E397" s="1" t="s">
        <v>4867</v>
      </c>
      <c r="F397" s="1" t="s">
        <v>4875</v>
      </c>
      <c r="G397" s="1" t="s">
        <v>4869</v>
      </c>
      <c r="H397" s="1" t="s">
        <v>4923</v>
      </c>
      <c r="I397" s="1" t="s">
        <v>4896</v>
      </c>
      <c r="J397" s="1" t="s">
        <v>4911</v>
      </c>
    </row>
    <row r="398" spans="3:10" x14ac:dyDescent="0.25">
      <c r="C398" s="1" t="s">
        <v>4488</v>
      </c>
      <c r="D398" s="1" t="s">
        <v>4491</v>
      </c>
      <c r="E398" s="1" t="s">
        <v>4865</v>
      </c>
      <c r="F398" s="1" t="s">
        <v>4874</v>
      </c>
      <c r="G398" s="1" t="s">
        <v>4869</v>
      </c>
      <c r="H398" s="1" t="s">
        <v>4917</v>
      </c>
      <c r="I398" s="1" t="s">
        <v>4896</v>
      </c>
      <c r="J398" s="1" t="s">
        <v>4911</v>
      </c>
    </row>
    <row r="399" spans="3:10" x14ac:dyDescent="0.25">
      <c r="C399" s="1" t="s">
        <v>4844</v>
      </c>
      <c r="D399" s="1" t="s">
        <v>4845</v>
      </c>
      <c r="E399" s="1" t="s">
        <v>4864</v>
      </c>
      <c r="F399" s="1" t="s">
        <v>4875</v>
      </c>
      <c r="G399" s="1" t="s">
        <v>4869</v>
      </c>
      <c r="H399" s="1" t="s">
        <v>4953</v>
      </c>
      <c r="I399" s="1" t="s">
        <v>4896</v>
      </c>
      <c r="J399" s="1" t="s">
        <v>4911</v>
      </c>
    </row>
    <row r="400" spans="3:10" x14ac:dyDescent="0.25">
      <c r="C400" s="1" t="s">
        <v>4984</v>
      </c>
      <c r="D400" s="1" t="s">
        <v>4986</v>
      </c>
      <c r="E400" s="1" t="s">
        <v>4865</v>
      </c>
      <c r="F400" s="1" t="s">
        <v>4875</v>
      </c>
      <c r="G400" s="1" t="s">
        <v>4869</v>
      </c>
      <c r="H400" s="1" t="s">
        <v>4936</v>
      </c>
      <c r="I400" s="1" t="s">
        <v>4896</v>
      </c>
      <c r="J400" s="1" t="s">
        <v>4911</v>
      </c>
    </row>
    <row r="401" spans="3:10" x14ac:dyDescent="0.25">
      <c r="C401" s="1" t="s">
        <v>2741</v>
      </c>
      <c r="D401" s="1" t="s">
        <v>2743</v>
      </c>
      <c r="E401" s="37" t="s">
        <v>4865</v>
      </c>
      <c r="F401" s="37" t="s">
        <v>4873</v>
      </c>
      <c r="G401" s="37" t="s">
        <v>4869</v>
      </c>
      <c r="H401" s="37" t="s">
        <v>4918</v>
      </c>
      <c r="I401" s="37" t="s">
        <v>4896</v>
      </c>
      <c r="J401" t="s">
        <v>4943</v>
      </c>
    </row>
    <row r="402" spans="3:10" x14ac:dyDescent="0.25">
      <c r="C402" s="1" t="s">
        <v>3366</v>
      </c>
      <c r="D402" s="1" t="s">
        <v>3367</v>
      </c>
      <c r="E402" s="1" t="s">
        <v>4864</v>
      </c>
      <c r="F402" s="1" t="s">
        <v>4875</v>
      </c>
      <c r="G402" s="1" t="s">
        <v>4869</v>
      </c>
      <c r="H402" s="1" t="s">
        <v>5010</v>
      </c>
      <c r="I402" s="1" t="s">
        <v>4896</v>
      </c>
      <c r="J402" s="1" t="s">
        <v>4911</v>
      </c>
    </row>
    <row r="403" spans="3:10" x14ac:dyDescent="0.25">
      <c r="C403" s="1" t="s">
        <v>1721</v>
      </c>
      <c r="D403" s="1" t="s">
        <v>1723</v>
      </c>
      <c r="E403" s="13" t="s">
        <v>4865</v>
      </c>
      <c r="F403" s="37" t="s">
        <v>4874</v>
      </c>
      <c r="G403" s="15" t="s">
        <v>4869</v>
      </c>
      <c r="H403" s="15" t="s">
        <v>4916</v>
      </c>
      <c r="I403" s="15" t="s">
        <v>4896</v>
      </c>
      <c r="J403" s="15" t="s">
        <v>4911</v>
      </c>
    </row>
    <row r="404" spans="3:10" x14ac:dyDescent="0.25">
      <c r="C404" s="31" t="s">
        <v>2786</v>
      </c>
      <c r="D404" s="1" t="s">
        <v>1728</v>
      </c>
      <c r="E404" s="1" t="s">
        <v>4864</v>
      </c>
      <c r="F404" s="1" t="s">
        <v>4875</v>
      </c>
      <c r="G404" s="1" t="s">
        <v>4869</v>
      </c>
      <c r="H404" s="1" t="s">
        <v>4923</v>
      </c>
      <c r="I404" s="1" t="s">
        <v>4896</v>
      </c>
      <c r="J404" s="1" t="s">
        <v>4911</v>
      </c>
    </row>
    <row r="405" spans="3:10" x14ac:dyDescent="0.25">
      <c r="C405" s="1" t="s">
        <v>2686</v>
      </c>
      <c r="D405" s="1" t="s">
        <v>2688</v>
      </c>
      <c r="E405" s="1" t="s">
        <v>4865</v>
      </c>
      <c r="F405" s="1" t="s">
        <v>4872</v>
      </c>
      <c r="G405" s="1" t="s">
        <v>4869</v>
      </c>
      <c r="H405" s="1" t="s">
        <v>4933</v>
      </c>
      <c r="I405" s="1" t="s">
        <v>4896</v>
      </c>
      <c r="J405" s="1" t="s">
        <v>4911</v>
      </c>
    </row>
    <row r="406" spans="3:10" x14ac:dyDescent="0.25">
      <c r="C406" s="1" t="s">
        <v>2692</v>
      </c>
      <c r="D406" s="1" t="s">
        <v>1919</v>
      </c>
      <c r="E406" s="1" t="s">
        <v>4865</v>
      </c>
      <c r="F406" s="1" t="s">
        <v>4873</v>
      </c>
      <c r="G406" s="1" t="s">
        <v>4869</v>
      </c>
      <c r="H406" s="1" t="s">
        <v>4933</v>
      </c>
      <c r="I406" s="1" t="s">
        <v>4896</v>
      </c>
      <c r="J406" s="1" t="s">
        <v>4928</v>
      </c>
    </row>
    <row r="407" spans="3:10" x14ac:dyDescent="0.25">
      <c r="C407" s="1" t="s">
        <v>2695</v>
      </c>
      <c r="D407" s="1" t="s">
        <v>2696</v>
      </c>
      <c r="E407" s="1" t="s">
        <v>4865</v>
      </c>
      <c r="F407" s="1" t="s">
        <v>4875</v>
      </c>
      <c r="G407" s="1" t="s">
        <v>4869</v>
      </c>
      <c r="H407" s="1" t="s">
        <v>4920</v>
      </c>
      <c r="I407" s="1" t="s">
        <v>4896</v>
      </c>
      <c r="J407" s="1" t="s">
        <v>4946</v>
      </c>
    </row>
    <row r="408" spans="3:10" x14ac:dyDescent="0.25">
      <c r="C408" s="1" t="s">
        <v>2706</v>
      </c>
      <c r="D408" s="1" t="s">
        <v>2707</v>
      </c>
      <c r="E408" s="1" t="s">
        <v>4865</v>
      </c>
      <c r="F408" s="1" t="s">
        <v>4875</v>
      </c>
      <c r="G408" s="1" t="s">
        <v>4869</v>
      </c>
      <c r="H408" s="1" t="s">
        <v>4920</v>
      </c>
      <c r="I408" s="1" t="s">
        <v>4896</v>
      </c>
      <c r="J408" s="1" t="s">
        <v>4911</v>
      </c>
    </row>
    <row r="409" spans="3:10" x14ac:dyDescent="0.25">
      <c r="C409" s="1" t="s">
        <v>2711</v>
      </c>
      <c r="D409" s="1" t="s">
        <v>2713</v>
      </c>
      <c r="E409" s="1" t="s">
        <v>4865</v>
      </c>
      <c r="F409" s="1" t="s">
        <v>4873</v>
      </c>
      <c r="G409" s="1" t="s">
        <v>4869</v>
      </c>
      <c r="H409" s="1" t="s">
        <v>4933</v>
      </c>
      <c r="I409" s="1" t="s">
        <v>4896</v>
      </c>
      <c r="J409" s="1" t="s">
        <v>4911</v>
      </c>
    </row>
    <row r="410" spans="3:10" x14ac:dyDescent="0.25">
      <c r="C410" s="1" t="s">
        <v>2720</v>
      </c>
      <c r="D410" s="1" t="s">
        <v>2721</v>
      </c>
      <c r="E410" s="1" t="s">
        <v>4865</v>
      </c>
      <c r="F410" s="1" t="s">
        <v>4873</v>
      </c>
      <c r="G410" s="1" t="s">
        <v>4869</v>
      </c>
      <c r="H410" s="1" t="s">
        <v>4947</v>
      </c>
      <c r="I410" s="1" t="s">
        <v>4896</v>
      </c>
      <c r="J410" s="1" t="s">
        <v>4911</v>
      </c>
    </row>
    <row r="411" spans="3:10" x14ac:dyDescent="0.25">
      <c r="C411" s="1" t="s">
        <v>2695</v>
      </c>
      <c r="D411" s="1" t="s">
        <v>2696</v>
      </c>
      <c r="E411" s="1" t="s">
        <v>4865</v>
      </c>
      <c r="F411" s="1" t="s">
        <v>4875</v>
      </c>
      <c r="G411" s="1" t="s">
        <v>4869</v>
      </c>
      <c r="H411" s="1" t="s">
        <v>4920</v>
      </c>
      <c r="I411" s="1" t="s">
        <v>4896</v>
      </c>
      <c r="J411" s="1" t="s">
        <v>4946</v>
      </c>
    </row>
    <row r="412" spans="3:10" x14ac:dyDescent="0.25">
      <c r="C412" s="1" t="s">
        <v>3976</v>
      </c>
      <c r="D412" s="1" t="s">
        <v>3378</v>
      </c>
      <c r="E412" s="1" t="s">
        <v>4864</v>
      </c>
      <c r="F412" s="1" t="s">
        <v>4874</v>
      </c>
      <c r="G412" s="1" t="s">
        <v>4869</v>
      </c>
      <c r="H412" s="1" t="s">
        <v>4926</v>
      </c>
      <c r="I412" s="1" t="s">
        <v>4896</v>
      </c>
      <c r="J412" s="1" t="s">
        <v>4911</v>
      </c>
    </row>
    <row r="413" spans="3:10" x14ac:dyDescent="0.25">
      <c r="C413" s="1" t="s">
        <v>3382</v>
      </c>
      <c r="D413" s="1" t="s">
        <v>3378</v>
      </c>
      <c r="E413" s="1" t="s">
        <v>4864</v>
      </c>
      <c r="F413" s="1" t="s">
        <v>4875</v>
      </c>
      <c r="G413" s="1" t="s">
        <v>4869</v>
      </c>
      <c r="H413" s="1" t="s">
        <v>4956</v>
      </c>
      <c r="I413" s="1" t="s">
        <v>4896</v>
      </c>
      <c r="J413" s="1" t="s">
        <v>4911</v>
      </c>
    </row>
    <row r="414" spans="3:10" x14ac:dyDescent="0.25">
      <c r="C414" s="1" t="s">
        <v>3383</v>
      </c>
      <c r="D414" s="1" t="s">
        <v>1483</v>
      </c>
      <c r="E414" s="1" t="s">
        <v>4863</v>
      </c>
      <c r="F414" s="1" t="s">
        <v>4873</v>
      </c>
      <c r="G414" s="1" t="s">
        <v>4869</v>
      </c>
      <c r="H414" s="1" t="s">
        <v>4949</v>
      </c>
      <c r="I414" s="1" t="s">
        <v>4896</v>
      </c>
      <c r="J414" s="1" t="s">
        <v>4911</v>
      </c>
    </row>
    <row r="415" spans="3:10" x14ac:dyDescent="0.25">
      <c r="C415" s="1" t="s">
        <v>3398</v>
      </c>
      <c r="D415" s="1" t="s">
        <v>3391</v>
      </c>
      <c r="E415" s="1" t="s">
        <v>4865</v>
      </c>
      <c r="F415" s="1" t="s">
        <v>4873</v>
      </c>
      <c r="G415" s="1" t="s">
        <v>4869</v>
      </c>
      <c r="H415" s="1" t="s">
        <v>5153</v>
      </c>
      <c r="I415" s="1" t="s">
        <v>4896</v>
      </c>
      <c r="J415" s="1" t="s">
        <v>4911</v>
      </c>
    </row>
    <row r="416" spans="3:10" x14ac:dyDescent="0.25">
      <c r="C416" s="21" t="s">
        <v>3713</v>
      </c>
      <c r="D416" s="21" t="s">
        <v>3714</v>
      </c>
      <c r="E416" s="21" t="s">
        <v>4867</v>
      </c>
      <c r="F416" s="21" t="s">
        <v>4875</v>
      </c>
      <c r="G416" s="21" t="s">
        <v>4869</v>
      </c>
      <c r="H416" s="21" t="s">
        <v>4920</v>
      </c>
      <c r="I416" s="21" t="s">
        <v>4896</v>
      </c>
      <c r="J416" s="21" t="s">
        <v>4924</v>
      </c>
    </row>
    <row r="417" spans="3:10" x14ac:dyDescent="0.25">
      <c r="C417" s="1" t="s">
        <v>4191</v>
      </c>
      <c r="D417" s="1" t="s">
        <v>4193</v>
      </c>
      <c r="E417" s="1" t="s">
        <v>4863</v>
      </c>
      <c r="F417" s="1" t="s">
        <v>4872</v>
      </c>
      <c r="G417" s="1" t="s">
        <v>4869</v>
      </c>
      <c r="H417" s="1" t="s">
        <v>4933</v>
      </c>
      <c r="I417" s="1" t="s">
        <v>4896</v>
      </c>
      <c r="J417" s="1" t="s">
        <v>4911</v>
      </c>
    </row>
    <row r="418" spans="3:10" x14ac:dyDescent="0.25">
      <c r="C418" s="1" t="s">
        <v>2746</v>
      </c>
      <c r="D418" s="1" t="s">
        <v>2747</v>
      </c>
      <c r="E418" s="1" t="s">
        <v>4865</v>
      </c>
      <c r="F418" s="1" t="s">
        <v>4873</v>
      </c>
      <c r="G418" s="1" t="s">
        <v>4869</v>
      </c>
      <c r="H418" s="1" t="s">
        <v>5154</v>
      </c>
      <c r="I418" s="1" t="s">
        <v>4896</v>
      </c>
      <c r="J418" s="1" t="s">
        <v>4911</v>
      </c>
    </row>
    <row r="419" spans="3:10" x14ac:dyDescent="0.25">
      <c r="C419" s="1" t="s">
        <v>3630</v>
      </c>
      <c r="D419" s="1" t="s">
        <v>3631</v>
      </c>
      <c r="E419" s="1" t="s">
        <v>4867</v>
      </c>
      <c r="F419" s="1" t="s">
        <v>4874</v>
      </c>
      <c r="G419" s="1" t="s">
        <v>4869</v>
      </c>
      <c r="H419" s="1" t="s">
        <v>4920</v>
      </c>
      <c r="I419" s="1" t="s">
        <v>4896</v>
      </c>
      <c r="J419" s="1" t="s">
        <v>4911</v>
      </c>
    </row>
    <row r="420" spans="3:10" x14ac:dyDescent="0.25">
      <c r="C420" s="1" t="s">
        <v>3399</v>
      </c>
      <c r="D420" s="1" t="s">
        <v>3400</v>
      </c>
      <c r="E420" s="1" t="s">
        <v>4864</v>
      </c>
      <c r="F420" s="1" t="s">
        <v>4875</v>
      </c>
      <c r="G420" s="1" t="s">
        <v>4869</v>
      </c>
      <c r="H420" s="1" t="s">
        <v>4918</v>
      </c>
      <c r="I420" s="1" t="s">
        <v>4896</v>
      </c>
      <c r="J420" s="1" t="s">
        <v>4924</v>
      </c>
    </row>
    <row r="421" spans="3:10" x14ac:dyDescent="0.25">
      <c r="C421" t="s">
        <v>4842</v>
      </c>
      <c r="D421" s="1" t="s">
        <v>4841</v>
      </c>
      <c r="E421" s="1" t="s">
        <v>4864</v>
      </c>
      <c r="F421" s="1" t="s">
        <v>4875</v>
      </c>
      <c r="G421" s="1" t="s">
        <v>4869</v>
      </c>
      <c r="H421" s="1" t="s">
        <v>5099</v>
      </c>
      <c r="I421" s="1" t="s">
        <v>4896</v>
      </c>
      <c r="J421" s="1" t="s">
        <v>4911</v>
      </c>
    </row>
    <row r="422" spans="3:10" x14ac:dyDescent="0.25">
      <c r="C422" s="1" t="s">
        <v>1741</v>
      </c>
      <c r="D422" s="1" t="s">
        <v>1742</v>
      </c>
      <c r="E422" s="1" t="s">
        <v>4867</v>
      </c>
      <c r="F422" s="1" t="s">
        <v>4875</v>
      </c>
      <c r="G422" s="1" t="s">
        <v>4869</v>
      </c>
      <c r="H422" s="1" t="s">
        <v>4923</v>
      </c>
      <c r="I422" s="1" t="s">
        <v>4896</v>
      </c>
      <c r="J422" s="1" t="s">
        <v>4928</v>
      </c>
    </row>
    <row r="423" spans="3:10" x14ac:dyDescent="0.25">
      <c r="C423" s="1" t="s">
        <v>1751</v>
      </c>
      <c r="D423" s="1" t="s">
        <v>1758</v>
      </c>
      <c r="E423" s="1" t="s">
        <v>4865</v>
      </c>
      <c r="F423" s="1" t="s">
        <v>4873</v>
      </c>
      <c r="G423" s="1" t="s">
        <v>4869</v>
      </c>
      <c r="H423" s="1" t="s">
        <v>5156</v>
      </c>
      <c r="I423" s="1" t="s">
        <v>4896</v>
      </c>
      <c r="J423" s="1" t="s">
        <v>4911</v>
      </c>
    </row>
    <row r="424" spans="3:10" x14ac:dyDescent="0.25">
      <c r="C424" s="1" t="s">
        <v>1752</v>
      </c>
      <c r="D424" s="1" t="s">
        <v>1753</v>
      </c>
      <c r="E424" s="13" t="s">
        <v>4865</v>
      </c>
      <c r="F424" s="13" t="s">
        <v>4875</v>
      </c>
      <c r="G424" s="13" t="s">
        <v>4869</v>
      </c>
      <c r="H424" s="13" t="s">
        <v>5157</v>
      </c>
      <c r="I424" s="13" t="s">
        <v>4896</v>
      </c>
      <c r="J424" s="13" t="s">
        <v>4911</v>
      </c>
    </row>
    <row r="425" spans="3:10" x14ac:dyDescent="0.25">
      <c r="C425" s="1" t="s">
        <v>5142</v>
      </c>
      <c r="D425" s="1" t="s">
        <v>5144</v>
      </c>
      <c r="E425" s="1" t="s">
        <v>4865</v>
      </c>
      <c r="F425" s="1" t="s">
        <v>4875</v>
      </c>
      <c r="G425" s="1" t="s">
        <v>4869</v>
      </c>
      <c r="H425" s="1" t="s">
        <v>4936</v>
      </c>
      <c r="I425" s="1" t="s">
        <v>4896</v>
      </c>
      <c r="J425" s="1" t="s">
        <v>4911</v>
      </c>
    </row>
    <row r="426" spans="3:10" x14ac:dyDescent="0.25">
      <c r="C426" s="1" t="s">
        <v>3635</v>
      </c>
      <c r="D426" s="1" t="s">
        <v>3636</v>
      </c>
      <c r="E426" s="1" t="s">
        <v>4865</v>
      </c>
      <c r="F426" s="1" t="s">
        <v>4873</v>
      </c>
      <c r="G426" s="1" t="s">
        <v>4869</v>
      </c>
      <c r="H426" s="1" t="s">
        <v>4926</v>
      </c>
      <c r="I426" s="1" t="s">
        <v>4896</v>
      </c>
      <c r="J426" s="1" t="s">
        <v>4911</v>
      </c>
    </row>
    <row r="427" spans="3:10" x14ac:dyDescent="0.25">
      <c r="C427" s="1" t="s">
        <v>4622</v>
      </c>
      <c r="D427" s="1" t="s">
        <v>4623</v>
      </c>
      <c r="E427" s="1" t="s">
        <v>4865</v>
      </c>
      <c r="F427" s="1" t="s">
        <v>4874</v>
      </c>
      <c r="G427" s="1" t="s">
        <v>4869</v>
      </c>
      <c r="H427" s="1" t="s">
        <v>4920</v>
      </c>
      <c r="I427" s="1" t="s">
        <v>4896</v>
      </c>
      <c r="J427" s="1" t="s">
        <v>4911</v>
      </c>
    </row>
    <row r="428" spans="3:10" x14ac:dyDescent="0.25">
      <c r="C428" s="21" t="s">
        <v>3646</v>
      </c>
      <c r="D428" s="21" t="s">
        <v>3647</v>
      </c>
      <c r="E428" s="21" t="s">
        <v>4865</v>
      </c>
      <c r="F428" s="21" t="s">
        <v>4873</v>
      </c>
      <c r="G428" s="21" t="s">
        <v>4869</v>
      </c>
      <c r="H428" s="21" t="s">
        <v>5157</v>
      </c>
      <c r="I428" s="21" t="s">
        <v>4896</v>
      </c>
      <c r="J428" s="21" t="s">
        <v>4911</v>
      </c>
    </row>
  </sheetData>
  <dataConsolidate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0000000}">
          <x14:formula1>
            <xm:f>DATOS!$E$7:$E$38</xm:f>
          </x14:formula1>
          <xm:sqref>I2:I45 I103:I428</xm:sqref>
        </x14:dataValidation>
        <x14:dataValidation type="list" allowBlank="1" showInputMessage="1" showErrorMessage="1" xr:uid="{00000000-0002-0000-0000-000001000000}">
          <x14:formula1>
            <xm:f>DATOS!$B$20:$B$23</xm:f>
          </x14:formula1>
          <xm:sqref>F2:F428</xm:sqref>
        </x14:dataValidation>
        <x14:dataValidation type="list" allowBlank="1" showInputMessage="1" showErrorMessage="1" xr:uid="{00000000-0002-0000-0000-000002000000}">
          <x14:formula1>
            <xm:f>DATOS!$B$13:$B$16</xm:f>
          </x14:formula1>
          <xm:sqref>G208:G428 G2:G203</xm:sqref>
        </x14:dataValidation>
        <x14:dataValidation type="list" allowBlank="1" showInputMessage="1" showErrorMessage="1" xr:uid="{00000000-0002-0000-0000-000003000000}">
          <x14:formula1>
            <xm:f>DATOS!$B$4:$B$8</xm:f>
          </x14:formula1>
          <xm:sqref>E92:E203 E2:E90 E205:E428</xm:sqref>
        </x14:dataValidation>
        <x14:dataValidation type="list" allowBlank="1" showInputMessage="1" showErrorMessage="1" xr:uid="{00000000-0002-0000-0000-000004000000}">
          <x14:formula1>
            <xm:f>DATOS!$E$7:$E$37</xm:f>
          </x14:formula1>
          <xm:sqref>I46:I102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48576"/>
  <sheetViews>
    <sheetView zoomScale="80" zoomScaleNormal="80" workbookViewId="0">
      <selection activeCell="B15" sqref="B15"/>
    </sheetView>
  </sheetViews>
  <sheetFormatPr baseColWidth="10" defaultRowHeight="15" x14ac:dyDescent="0.25"/>
  <cols>
    <col min="1" max="1" width="7.28515625" customWidth="1"/>
    <col min="2" max="2" width="16.140625" customWidth="1"/>
    <col min="3" max="3" width="23.140625" bestFit="1" customWidth="1"/>
    <col min="4" max="4" width="46.5703125" bestFit="1" customWidth="1"/>
    <col min="5" max="5" width="58.42578125" customWidth="1"/>
    <col min="6" max="6" width="29.42578125" bestFit="1" customWidth="1"/>
    <col min="7" max="7" width="25" customWidth="1"/>
    <col min="8" max="8" width="13.5703125" customWidth="1"/>
    <col min="9" max="9" width="25.140625" customWidth="1"/>
    <col min="10" max="10" width="13.5703125" customWidth="1"/>
    <col min="11" max="11" width="25.7109375" bestFit="1" customWidth="1"/>
    <col min="12" max="12" width="38.42578125" bestFit="1" customWidth="1"/>
    <col min="13" max="13" width="31.5703125" customWidth="1"/>
    <col min="14" max="14" width="39.85546875" bestFit="1" customWidth="1"/>
    <col min="15" max="15" width="15.5703125" bestFit="1" customWidth="1"/>
    <col min="16" max="16" width="11.5703125" customWidth="1"/>
    <col min="17" max="17" width="46.140625" customWidth="1"/>
    <col min="18" max="18" width="40.85546875" bestFit="1" customWidth="1"/>
    <col min="19" max="19" width="32.7109375" customWidth="1"/>
    <col min="20" max="20" width="38.28515625" bestFit="1" customWidth="1"/>
    <col min="21" max="21" width="13.85546875" bestFit="1" customWidth="1"/>
    <col min="22" max="22" width="11.5703125" customWidth="1"/>
    <col min="23" max="23" width="47.140625" customWidth="1"/>
    <col min="24" max="24" width="43.85546875" customWidth="1"/>
    <col min="25" max="25" width="32.7109375" customWidth="1"/>
    <col min="26" max="26" width="41" bestFit="1" customWidth="1"/>
    <col min="27" max="27" width="13.85546875" bestFit="1" customWidth="1"/>
    <col min="28" max="28" width="12.7109375" customWidth="1"/>
    <col min="29" max="29" width="48.28515625" customWidth="1"/>
    <col min="30" max="30" width="39.42578125" customWidth="1"/>
    <col min="31" max="31" width="33.7109375" customWidth="1"/>
    <col min="32" max="32" width="39.42578125" bestFit="1" customWidth="1"/>
    <col min="33" max="33" width="13.85546875" bestFit="1" customWidth="1"/>
    <col min="34" max="34" width="12.7109375" customWidth="1"/>
    <col min="35" max="35" width="105.140625" bestFit="1" customWidth="1"/>
    <col min="36" max="36" width="27.85546875" customWidth="1"/>
    <col min="37" max="37" width="34" customWidth="1"/>
    <col min="38" max="38" width="34.28515625" customWidth="1"/>
    <col min="39" max="39" width="34.7109375" customWidth="1"/>
    <col min="40" max="40" width="22.140625" customWidth="1"/>
  </cols>
  <sheetData>
    <row r="1" spans="1:36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6" x14ac:dyDescent="0.25">
      <c r="A2" s="1" t="s">
        <v>6</v>
      </c>
      <c r="B2" s="18" t="s">
        <v>2818</v>
      </c>
      <c r="C2" s="1" t="s">
        <v>1363</v>
      </c>
      <c r="D2" s="1" t="s">
        <v>1361</v>
      </c>
      <c r="E2" s="1" t="s">
        <v>1364</v>
      </c>
      <c r="F2" s="1" t="s">
        <v>4863</v>
      </c>
      <c r="G2" s="1" t="s">
        <v>4873</v>
      </c>
      <c r="H2" s="1" t="s">
        <v>4869</v>
      </c>
      <c r="I2" s="1" t="s">
        <v>4951</v>
      </c>
      <c r="J2" s="1" t="s">
        <v>4896</v>
      </c>
      <c r="K2" s="1" t="s">
        <v>4911</v>
      </c>
      <c r="L2" s="1" t="s">
        <v>1365</v>
      </c>
      <c r="M2" s="12">
        <v>8113067699</v>
      </c>
      <c r="N2" s="11" t="s">
        <v>1366</v>
      </c>
      <c r="O2" s="12">
        <v>8114802562</v>
      </c>
      <c r="P2" s="9"/>
      <c r="Q2" s="1" t="s">
        <v>1364</v>
      </c>
      <c r="R2" s="1" t="s">
        <v>1365</v>
      </c>
      <c r="S2" s="12">
        <v>8113067699</v>
      </c>
      <c r="T2" s="11" t="s">
        <v>1366</v>
      </c>
      <c r="U2" s="12">
        <v>8114802562</v>
      </c>
      <c r="V2" s="9"/>
      <c r="W2" s="1" t="s">
        <v>1367</v>
      </c>
      <c r="X2" s="1" t="s">
        <v>1368</v>
      </c>
      <c r="Y2" s="1">
        <v>8113067698</v>
      </c>
      <c r="Z2" s="11" t="s">
        <v>1369</v>
      </c>
      <c r="AA2" s="1">
        <v>8117626532</v>
      </c>
      <c r="AB2" s="9"/>
      <c r="AC2" s="1"/>
      <c r="AD2" s="1"/>
      <c r="AE2" s="1"/>
      <c r="AF2" s="1"/>
      <c r="AG2" s="1"/>
      <c r="AI2" s="11" t="s">
        <v>1362</v>
      </c>
      <c r="AJ2" s="17"/>
    </row>
    <row r="3" spans="1:36" x14ac:dyDescent="0.25">
      <c r="A3" s="1" t="s">
        <v>10</v>
      </c>
      <c r="B3" s="18" t="s">
        <v>2819</v>
      </c>
      <c r="C3" s="1" t="s">
        <v>1371</v>
      </c>
      <c r="D3" s="1" t="s">
        <v>1370</v>
      </c>
      <c r="E3" s="1" t="s">
        <v>1372</v>
      </c>
      <c r="F3" s="1" t="s">
        <v>4864</v>
      </c>
      <c r="G3" s="1" t="s">
        <v>4875</v>
      </c>
      <c r="H3" s="1" t="s">
        <v>4869</v>
      </c>
      <c r="I3" s="1" t="s">
        <v>4956</v>
      </c>
      <c r="J3" s="1" t="s">
        <v>4896</v>
      </c>
      <c r="K3" s="1" t="s">
        <v>4924</v>
      </c>
      <c r="L3" s="1" t="s">
        <v>1373</v>
      </c>
      <c r="M3" s="1" t="s">
        <v>1374</v>
      </c>
      <c r="N3" s="11" t="s">
        <v>1375</v>
      </c>
      <c r="O3" s="1">
        <v>8111746023</v>
      </c>
      <c r="P3" s="9"/>
      <c r="Q3" s="1" t="s">
        <v>1372</v>
      </c>
      <c r="R3" s="1" t="s">
        <v>1373</v>
      </c>
      <c r="S3" s="1" t="s">
        <v>1374</v>
      </c>
      <c r="T3" s="11" t="s">
        <v>1375</v>
      </c>
      <c r="U3" s="1">
        <v>8111746023</v>
      </c>
      <c r="V3" s="9"/>
      <c r="W3" s="1" t="s">
        <v>1376</v>
      </c>
      <c r="X3" s="1" t="s">
        <v>1377</v>
      </c>
      <c r="Y3" s="1" t="s">
        <v>1378</v>
      </c>
      <c r="Z3" s="11" t="s">
        <v>1379</v>
      </c>
      <c r="AA3" s="1">
        <v>8120802423</v>
      </c>
      <c r="AB3" s="9"/>
      <c r="AC3" s="1"/>
      <c r="AD3" s="1"/>
      <c r="AE3" s="1"/>
      <c r="AF3" s="1"/>
      <c r="AG3" s="1"/>
      <c r="AI3" s="11" t="s">
        <v>1380</v>
      </c>
    </row>
    <row r="4" spans="1:36" x14ac:dyDescent="0.25">
      <c r="A4" s="1" t="s">
        <v>11</v>
      </c>
      <c r="B4" s="18" t="s">
        <v>2821</v>
      </c>
      <c r="C4" s="1" t="s">
        <v>1381</v>
      </c>
      <c r="D4" s="1" t="s">
        <v>2771</v>
      </c>
      <c r="E4" s="1" t="s">
        <v>1382</v>
      </c>
      <c r="F4" s="1" t="s">
        <v>4863</v>
      </c>
      <c r="G4" s="1" t="s">
        <v>4873</v>
      </c>
      <c r="H4" s="1" t="s">
        <v>4869</v>
      </c>
      <c r="I4" s="1" t="s">
        <v>5001</v>
      </c>
      <c r="J4" s="1" t="s">
        <v>4896</v>
      </c>
      <c r="K4" s="1" t="s">
        <v>4911</v>
      </c>
      <c r="L4" s="1" t="s">
        <v>1384</v>
      </c>
      <c r="M4" s="1">
        <v>8113168111</v>
      </c>
      <c r="N4" s="11" t="s">
        <v>1385</v>
      </c>
      <c r="O4" s="1">
        <v>8113168111</v>
      </c>
      <c r="P4" s="9"/>
      <c r="Q4" s="1" t="s">
        <v>1386</v>
      </c>
      <c r="R4" s="1" t="s">
        <v>1383</v>
      </c>
      <c r="S4" s="1">
        <v>8112988931</v>
      </c>
      <c r="T4" s="11" t="s">
        <v>1387</v>
      </c>
      <c r="U4" s="1">
        <v>8112988931</v>
      </c>
      <c r="V4" s="9"/>
      <c r="W4" s="1" t="s">
        <v>1382</v>
      </c>
      <c r="X4" s="1" t="s">
        <v>1384</v>
      </c>
      <c r="Y4" s="1">
        <v>8113168111</v>
      </c>
      <c r="Z4" s="11" t="s">
        <v>1385</v>
      </c>
      <c r="AA4" s="1">
        <v>8113168111</v>
      </c>
      <c r="AB4" s="9"/>
      <c r="AC4" s="1" t="s">
        <v>1388</v>
      </c>
      <c r="AD4" s="1" t="s">
        <v>1389</v>
      </c>
      <c r="AE4" s="1">
        <v>8123438208</v>
      </c>
      <c r="AF4" s="11" t="s">
        <v>1390</v>
      </c>
      <c r="AG4" s="1">
        <v>8123438208</v>
      </c>
      <c r="AI4" s="11" t="s">
        <v>1391</v>
      </c>
    </row>
    <row r="5" spans="1:36" x14ac:dyDescent="0.25">
      <c r="A5" s="1" t="s">
        <v>12</v>
      </c>
      <c r="B5" s="18" t="s">
        <v>2822</v>
      </c>
      <c r="C5" s="1" t="s">
        <v>1768</v>
      </c>
      <c r="D5" s="1" t="s">
        <v>2770</v>
      </c>
      <c r="E5" s="1" t="s">
        <v>1769</v>
      </c>
      <c r="F5" s="1" t="s">
        <v>4865</v>
      </c>
      <c r="G5" s="1" t="s">
        <v>4875</v>
      </c>
      <c r="H5" s="1" t="s">
        <v>4869</v>
      </c>
      <c r="I5" s="1" t="s">
        <v>4920</v>
      </c>
      <c r="J5" s="1" t="s">
        <v>4896</v>
      </c>
      <c r="K5" s="1" t="s">
        <v>4946</v>
      </c>
      <c r="L5" s="1" t="s">
        <v>1770</v>
      </c>
      <c r="M5" s="1">
        <v>7821310481</v>
      </c>
      <c r="N5" s="11" t="s">
        <v>1771</v>
      </c>
      <c r="O5" s="1">
        <v>7821310481</v>
      </c>
      <c r="P5" s="9"/>
      <c r="Q5" s="1" t="s">
        <v>1769</v>
      </c>
      <c r="R5" s="1" t="s">
        <v>1770</v>
      </c>
      <c r="S5" s="1">
        <v>7821310481</v>
      </c>
      <c r="T5" s="11" t="s">
        <v>1771</v>
      </c>
      <c r="U5" s="1">
        <v>7821310481</v>
      </c>
      <c r="V5" s="9"/>
      <c r="W5" s="1" t="s">
        <v>1772</v>
      </c>
      <c r="X5" s="1" t="s">
        <v>1773</v>
      </c>
      <c r="Y5" s="1">
        <v>8116862571</v>
      </c>
      <c r="Z5" s="11" t="s">
        <v>1774</v>
      </c>
      <c r="AA5" s="1">
        <v>8116862571</v>
      </c>
      <c r="AB5" s="9"/>
      <c r="AC5" s="1"/>
      <c r="AD5" s="1"/>
      <c r="AE5" s="1"/>
      <c r="AF5" s="1"/>
      <c r="AG5" s="1"/>
      <c r="AI5" s="11" t="s">
        <v>1775</v>
      </c>
    </row>
    <row r="6" spans="1:36" x14ac:dyDescent="0.25">
      <c r="A6" s="1" t="s">
        <v>13</v>
      </c>
      <c r="B6" s="18" t="s">
        <v>3992</v>
      </c>
      <c r="C6" s="1" t="s">
        <v>1872</v>
      </c>
      <c r="D6" s="1" t="s">
        <v>1871</v>
      </c>
      <c r="E6" s="1" t="s">
        <v>1873</v>
      </c>
      <c r="F6" s="1" t="s">
        <v>4863</v>
      </c>
      <c r="G6" s="1" t="s">
        <v>4873</v>
      </c>
      <c r="H6" s="1" t="s">
        <v>4869</v>
      </c>
      <c r="I6" s="1" t="s">
        <v>4920</v>
      </c>
      <c r="J6" s="1" t="s">
        <v>4896</v>
      </c>
      <c r="K6" s="1" t="s">
        <v>4911</v>
      </c>
      <c r="L6" s="1" t="s">
        <v>1874</v>
      </c>
      <c r="M6" s="1">
        <v>8120036701</v>
      </c>
      <c r="N6" s="11" t="s">
        <v>1875</v>
      </c>
      <c r="O6" s="1">
        <v>8120036701</v>
      </c>
      <c r="P6" s="9"/>
      <c r="Q6" s="1" t="s">
        <v>1873</v>
      </c>
      <c r="R6" s="1" t="s">
        <v>1874</v>
      </c>
      <c r="S6" s="1">
        <v>8120036701</v>
      </c>
      <c r="T6" s="11" t="s">
        <v>1875</v>
      </c>
      <c r="U6" s="1">
        <v>8120036701</v>
      </c>
      <c r="V6" s="9"/>
      <c r="W6" s="1" t="s">
        <v>1876</v>
      </c>
      <c r="X6" s="1" t="s">
        <v>1905</v>
      </c>
      <c r="Y6" s="1">
        <v>8115185119</v>
      </c>
      <c r="Z6" s="11" t="s">
        <v>1877</v>
      </c>
      <c r="AA6" s="1">
        <v>8115185119</v>
      </c>
      <c r="AB6" s="9"/>
      <c r="AC6" s="1"/>
      <c r="AD6" s="1"/>
      <c r="AE6" s="1"/>
      <c r="AF6" s="1"/>
      <c r="AG6" s="1"/>
      <c r="AI6" s="11" t="s">
        <v>1878</v>
      </c>
    </row>
    <row r="7" spans="1:36" x14ac:dyDescent="0.25">
      <c r="A7" s="1" t="s">
        <v>14</v>
      </c>
      <c r="B7" s="18" t="s">
        <v>4019</v>
      </c>
      <c r="C7" s="1" t="s">
        <v>1880</v>
      </c>
      <c r="D7" s="1" t="s">
        <v>1879</v>
      </c>
      <c r="E7" s="1" t="s">
        <v>1881</v>
      </c>
      <c r="F7" s="1" t="s">
        <v>4865</v>
      </c>
      <c r="G7" s="1" t="s">
        <v>4875</v>
      </c>
      <c r="H7" s="1" t="s">
        <v>4869</v>
      </c>
      <c r="I7" s="1" t="s">
        <v>4949</v>
      </c>
      <c r="J7" s="1" t="s">
        <v>4896</v>
      </c>
      <c r="K7" s="1" t="s">
        <v>4911</v>
      </c>
      <c r="L7" s="1" t="s">
        <v>1882</v>
      </c>
      <c r="M7" s="1">
        <v>8123654565</v>
      </c>
      <c r="N7" s="11" t="s">
        <v>1883</v>
      </c>
      <c r="O7" s="1">
        <v>8123654565</v>
      </c>
      <c r="P7" s="9"/>
      <c r="Q7" s="1" t="s">
        <v>1881</v>
      </c>
      <c r="R7" s="1" t="s">
        <v>1882</v>
      </c>
      <c r="S7" s="1">
        <v>8123654565</v>
      </c>
      <c r="T7" s="11" t="s">
        <v>1883</v>
      </c>
      <c r="U7" s="1">
        <v>8123654565</v>
      </c>
      <c r="V7" s="9"/>
      <c r="W7" s="1" t="s">
        <v>1884</v>
      </c>
      <c r="X7" s="1" t="s">
        <v>1885</v>
      </c>
      <c r="Y7" s="1">
        <v>8122028768</v>
      </c>
      <c r="Z7" s="11" t="s">
        <v>1886</v>
      </c>
      <c r="AA7" s="1">
        <v>8122028768</v>
      </c>
      <c r="AB7" s="9"/>
      <c r="AC7" s="1" t="s">
        <v>1887</v>
      </c>
      <c r="AD7" s="1" t="s">
        <v>1888</v>
      </c>
      <c r="AE7" s="1">
        <v>8110686226</v>
      </c>
      <c r="AF7" s="11" t="s">
        <v>1889</v>
      </c>
      <c r="AG7" s="1">
        <v>8110686226</v>
      </c>
      <c r="AI7" s="11" t="s">
        <v>1890</v>
      </c>
    </row>
    <row r="8" spans="1:36" x14ac:dyDescent="0.25">
      <c r="A8" s="1" t="s">
        <v>15</v>
      </c>
      <c r="B8" s="18" t="s">
        <v>2823</v>
      </c>
      <c r="C8" s="1" t="s">
        <v>1872</v>
      </c>
      <c r="D8" s="1" t="s">
        <v>1896</v>
      </c>
      <c r="E8" s="1" t="s">
        <v>1897</v>
      </c>
      <c r="F8" s="1" t="s">
        <v>4865</v>
      </c>
      <c r="G8" s="1" t="s">
        <v>4874</v>
      </c>
      <c r="H8" s="1" t="s">
        <v>4869</v>
      </c>
      <c r="I8" s="1" t="s">
        <v>5002</v>
      </c>
      <c r="J8" s="1" t="s">
        <v>4896</v>
      </c>
      <c r="K8" s="1" t="s">
        <v>4912</v>
      </c>
      <c r="L8" s="1" t="s">
        <v>1522</v>
      </c>
      <c r="M8" s="1">
        <v>8121926189</v>
      </c>
      <c r="N8" s="1" t="s">
        <v>1898</v>
      </c>
      <c r="O8" s="1">
        <v>8121926189</v>
      </c>
      <c r="P8" s="9"/>
      <c r="Q8" s="1" t="s">
        <v>1897</v>
      </c>
      <c r="R8" s="1" t="s">
        <v>1522</v>
      </c>
      <c r="S8" s="1">
        <v>8121926189</v>
      </c>
      <c r="T8" s="1" t="s">
        <v>1898</v>
      </c>
      <c r="U8" s="1">
        <v>8121926189</v>
      </c>
      <c r="V8" s="9"/>
      <c r="W8" s="1" t="s">
        <v>1899</v>
      </c>
      <c r="X8" s="1" t="s">
        <v>1900</v>
      </c>
      <c r="Y8" s="1">
        <v>524771110782</v>
      </c>
      <c r="Z8" s="11" t="s">
        <v>3864</v>
      </c>
      <c r="AA8" s="1">
        <v>4771110782</v>
      </c>
      <c r="AB8" s="9"/>
      <c r="AC8" s="1" t="s">
        <v>1902</v>
      </c>
      <c r="AD8" s="1" t="s">
        <v>1903</v>
      </c>
      <c r="AE8" s="1">
        <v>528211469992</v>
      </c>
      <c r="AF8" s="1" t="s">
        <v>1904</v>
      </c>
      <c r="AG8" s="1">
        <v>8211469992</v>
      </c>
      <c r="AI8" s="11" t="s">
        <v>1946</v>
      </c>
    </row>
    <row r="9" spans="1:36" x14ac:dyDescent="0.25">
      <c r="A9" s="1" t="s">
        <v>16</v>
      </c>
      <c r="B9" s="18" t="s">
        <v>2824</v>
      </c>
      <c r="C9" s="1" t="s">
        <v>1941</v>
      </c>
      <c r="D9" s="1" t="s">
        <v>1940</v>
      </c>
      <c r="E9" s="1" t="s">
        <v>1942</v>
      </c>
      <c r="F9" s="1" t="s">
        <v>4863</v>
      </c>
      <c r="G9" s="1" t="s">
        <v>4872</v>
      </c>
      <c r="H9" s="1" t="s">
        <v>4869</v>
      </c>
      <c r="I9" s="1" t="s">
        <v>5000</v>
      </c>
      <c r="J9" s="1" t="s">
        <v>4896</v>
      </c>
      <c r="K9" s="1" t="s">
        <v>4911</v>
      </c>
      <c r="L9" s="1" t="s">
        <v>1943</v>
      </c>
      <c r="M9" s="1">
        <v>8117391732</v>
      </c>
      <c r="N9" s="11" t="s">
        <v>1944</v>
      </c>
      <c r="O9" s="1">
        <v>8119240470</v>
      </c>
      <c r="P9" s="9"/>
      <c r="Q9" s="1" t="s">
        <v>1942</v>
      </c>
      <c r="R9" s="1" t="s">
        <v>1943</v>
      </c>
      <c r="S9" s="1">
        <v>8117391732</v>
      </c>
      <c r="T9" s="11" t="s">
        <v>1944</v>
      </c>
      <c r="U9" s="1">
        <v>8119240470</v>
      </c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1" t="s">
        <v>1945</v>
      </c>
    </row>
    <row r="10" spans="1:36" x14ac:dyDescent="0.25">
      <c r="A10" s="1" t="s">
        <v>17</v>
      </c>
      <c r="B10" s="18" t="s">
        <v>2825</v>
      </c>
      <c r="C10" s="1" t="s">
        <v>1991</v>
      </c>
      <c r="D10" s="1" t="s">
        <v>2078</v>
      </c>
      <c r="E10" s="1" t="s">
        <v>2079</v>
      </c>
      <c r="F10" s="1" t="s">
        <v>4863</v>
      </c>
      <c r="G10" s="1" t="s">
        <v>4872</v>
      </c>
      <c r="H10" s="1" t="s">
        <v>4869</v>
      </c>
      <c r="I10" s="1" t="s">
        <v>4947</v>
      </c>
      <c r="J10" s="1" t="s">
        <v>4896</v>
      </c>
      <c r="K10" s="1" t="s">
        <v>4912</v>
      </c>
      <c r="L10" s="1" t="s">
        <v>2080</v>
      </c>
      <c r="M10" s="1">
        <v>8123548075</v>
      </c>
      <c r="N10" s="11" t="s">
        <v>2081</v>
      </c>
      <c r="O10" s="1">
        <v>8123548075</v>
      </c>
      <c r="P10" s="9"/>
      <c r="Q10" s="1" t="s">
        <v>2079</v>
      </c>
      <c r="R10" s="1" t="s">
        <v>2080</v>
      </c>
      <c r="S10" s="1">
        <v>8123548075</v>
      </c>
      <c r="T10" s="11" t="s">
        <v>2081</v>
      </c>
      <c r="U10" s="1">
        <v>8123548075</v>
      </c>
      <c r="V10" s="9"/>
      <c r="W10" s="1" t="s">
        <v>2082</v>
      </c>
      <c r="X10" s="1" t="s">
        <v>2083</v>
      </c>
      <c r="Y10" s="1">
        <v>8110792260</v>
      </c>
      <c r="Z10" s="11" t="s">
        <v>2084</v>
      </c>
      <c r="AA10" s="1">
        <v>8110792260</v>
      </c>
      <c r="AB10" s="9"/>
      <c r="AC10" s="1" t="s">
        <v>2085</v>
      </c>
      <c r="AD10" s="1" t="s">
        <v>2086</v>
      </c>
      <c r="AE10" s="1">
        <v>8181335270</v>
      </c>
      <c r="AF10" s="11" t="s">
        <v>2087</v>
      </c>
      <c r="AG10" s="1">
        <v>8181335270</v>
      </c>
      <c r="AI10" s="11" t="s">
        <v>2088</v>
      </c>
    </row>
    <row r="11" spans="1:36" x14ac:dyDescent="0.25">
      <c r="A11" s="1" t="s">
        <v>18</v>
      </c>
      <c r="B11" s="18" t="s">
        <v>2826</v>
      </c>
      <c r="C11" s="1" t="s">
        <v>1991</v>
      </c>
      <c r="D11" s="1" t="s">
        <v>2089</v>
      </c>
      <c r="E11" s="1" t="s">
        <v>2090</v>
      </c>
      <c r="F11" s="1" t="s">
        <v>4863</v>
      </c>
      <c r="G11" s="1" t="s">
        <v>4873</v>
      </c>
      <c r="H11" s="1" t="s">
        <v>4869</v>
      </c>
      <c r="I11" s="1" t="s">
        <v>5003</v>
      </c>
      <c r="J11" s="1" t="s">
        <v>4896</v>
      </c>
      <c r="K11" s="1" t="s">
        <v>4911</v>
      </c>
      <c r="L11" s="1" t="s">
        <v>2091</v>
      </c>
      <c r="M11" s="1">
        <v>8183335618</v>
      </c>
      <c r="N11" s="11" t="s">
        <v>2092</v>
      </c>
      <c r="O11" s="1">
        <v>8116009789</v>
      </c>
      <c r="P11" s="9"/>
      <c r="Q11" s="1" t="s">
        <v>2090</v>
      </c>
      <c r="R11" s="1" t="s">
        <v>2091</v>
      </c>
      <c r="S11" s="1">
        <v>8183335618</v>
      </c>
      <c r="T11" s="11" t="s">
        <v>2092</v>
      </c>
      <c r="U11" s="1">
        <v>8116009789</v>
      </c>
      <c r="V11" s="9"/>
      <c r="W11" s="1" t="s">
        <v>2093</v>
      </c>
      <c r="X11" s="1" t="s">
        <v>2094</v>
      </c>
      <c r="Y11" s="1">
        <v>8183335618</v>
      </c>
      <c r="Z11" s="11" t="s">
        <v>2095</v>
      </c>
      <c r="AA11" s="1">
        <v>8117784792</v>
      </c>
      <c r="AB11" s="9"/>
      <c r="AC11" s="1" t="s">
        <v>2096</v>
      </c>
      <c r="AD11" s="1" t="s">
        <v>2097</v>
      </c>
      <c r="AE11" s="1">
        <v>818335618</v>
      </c>
      <c r="AF11" s="11" t="s">
        <v>2098</v>
      </c>
      <c r="AG11" s="1">
        <v>8123558240</v>
      </c>
      <c r="AI11" s="11" t="s">
        <v>2099</v>
      </c>
    </row>
    <row r="12" spans="1:36" x14ac:dyDescent="0.25">
      <c r="A12" s="1" t="s">
        <v>19</v>
      </c>
      <c r="B12" s="18" t="s">
        <v>2827</v>
      </c>
      <c r="C12" s="1" t="s">
        <v>2137</v>
      </c>
      <c r="D12" s="1" t="s">
        <v>2206</v>
      </c>
      <c r="E12" s="1" t="s">
        <v>2207</v>
      </c>
      <c r="F12" s="1" t="s">
        <v>4864</v>
      </c>
      <c r="G12" s="1" t="s">
        <v>4874</v>
      </c>
      <c r="H12" s="1" t="s">
        <v>4869</v>
      </c>
      <c r="I12" s="1" t="s">
        <v>4919</v>
      </c>
      <c r="J12" s="1" t="s">
        <v>4896</v>
      </c>
      <c r="K12" s="1" t="s">
        <v>4913</v>
      </c>
      <c r="L12" s="1" t="s">
        <v>2208</v>
      </c>
      <c r="M12" s="1">
        <v>18120328338</v>
      </c>
      <c r="N12" s="11" t="s">
        <v>2209</v>
      </c>
      <c r="O12" s="1">
        <v>18120328338</v>
      </c>
      <c r="P12" s="9"/>
      <c r="Q12" s="1" t="s">
        <v>2207</v>
      </c>
      <c r="R12" s="1" t="s">
        <v>2208</v>
      </c>
      <c r="S12" s="1">
        <v>18120328338</v>
      </c>
      <c r="T12" s="11" t="s">
        <v>2209</v>
      </c>
      <c r="U12" s="1">
        <v>18120328338</v>
      </c>
      <c r="V12" s="9"/>
      <c r="W12" s="1" t="s">
        <v>2210</v>
      </c>
      <c r="X12" s="1" t="s">
        <v>2211</v>
      </c>
      <c r="Y12" s="1">
        <v>8110664005</v>
      </c>
      <c r="Z12" s="11" t="s">
        <v>2212</v>
      </c>
      <c r="AA12" s="1">
        <v>8110664005</v>
      </c>
      <c r="AB12" s="9"/>
      <c r="AC12" s="1"/>
      <c r="AD12" s="1"/>
      <c r="AE12" s="1"/>
      <c r="AF12" s="1"/>
      <c r="AG12" s="1"/>
      <c r="AI12" s="11" t="s">
        <v>2213</v>
      </c>
    </row>
    <row r="13" spans="1:36" x14ac:dyDescent="0.25">
      <c r="A13" s="1" t="s">
        <v>20</v>
      </c>
      <c r="B13" s="18" t="s">
        <v>2828</v>
      </c>
      <c r="C13" s="1" t="s">
        <v>2162</v>
      </c>
      <c r="D13" s="18" t="s">
        <v>3283</v>
      </c>
      <c r="E13" s="1" t="s">
        <v>2214</v>
      </c>
      <c r="F13" s="1" t="s">
        <v>4865</v>
      </c>
      <c r="G13" s="1" t="s">
        <v>4873</v>
      </c>
      <c r="H13" s="1" t="s">
        <v>4869</v>
      </c>
      <c r="I13" s="1" t="s">
        <v>4926</v>
      </c>
      <c r="J13" s="1" t="s">
        <v>4896</v>
      </c>
      <c r="K13" s="1" t="s">
        <v>4911</v>
      </c>
      <c r="L13" s="1" t="s">
        <v>2215</v>
      </c>
      <c r="M13" s="1">
        <v>8113296165</v>
      </c>
      <c r="N13" s="11" t="s">
        <v>2216</v>
      </c>
      <c r="O13" s="1">
        <v>8113296165</v>
      </c>
      <c r="P13" s="9"/>
      <c r="Q13" s="1" t="s">
        <v>2217</v>
      </c>
      <c r="R13" s="1" t="s">
        <v>1989</v>
      </c>
      <c r="S13" s="1">
        <v>8132635190</v>
      </c>
      <c r="T13" s="11" t="s">
        <v>2218</v>
      </c>
      <c r="U13" s="1">
        <v>8132835190</v>
      </c>
      <c r="V13" s="9"/>
      <c r="W13" s="1" t="s">
        <v>2214</v>
      </c>
      <c r="X13" s="1" t="s">
        <v>2215</v>
      </c>
      <c r="Y13" s="1">
        <v>8113296165</v>
      </c>
      <c r="Z13" s="11" t="s">
        <v>2216</v>
      </c>
      <c r="AA13" s="1">
        <v>8113296165</v>
      </c>
      <c r="AB13" s="9"/>
      <c r="AC13" s="1"/>
      <c r="AD13" s="1"/>
      <c r="AE13" s="1"/>
      <c r="AF13" s="1"/>
      <c r="AG13" s="1"/>
      <c r="AI13" s="11" t="s">
        <v>2219</v>
      </c>
    </row>
    <row r="14" spans="1:36" x14ac:dyDescent="0.25">
      <c r="A14" s="1" t="s">
        <v>21</v>
      </c>
      <c r="B14" s="18" t="s">
        <v>4018</v>
      </c>
      <c r="C14" s="1" t="s">
        <v>2137</v>
      </c>
      <c r="D14" s="1" t="s">
        <v>2220</v>
      </c>
      <c r="E14" s="1" t="s">
        <v>2221</v>
      </c>
      <c r="F14" s="1" t="s">
        <v>4864</v>
      </c>
      <c r="G14" s="1" t="s">
        <v>4875</v>
      </c>
      <c r="H14" s="1" t="s">
        <v>4869</v>
      </c>
      <c r="I14" s="1" t="s">
        <v>4925</v>
      </c>
      <c r="J14" s="1" t="s">
        <v>4896</v>
      </c>
      <c r="K14" s="1" t="s">
        <v>4911</v>
      </c>
      <c r="L14" s="1" t="s">
        <v>2222</v>
      </c>
      <c r="M14" s="1">
        <v>8117342080</v>
      </c>
      <c r="N14" s="11" t="s">
        <v>2223</v>
      </c>
      <c r="O14" s="1">
        <v>8131990279</v>
      </c>
      <c r="P14" s="9"/>
      <c r="Q14" s="1" t="s">
        <v>2221</v>
      </c>
      <c r="R14" s="1" t="s">
        <v>2222</v>
      </c>
      <c r="S14" s="1">
        <v>8117342080</v>
      </c>
      <c r="T14" s="11" t="s">
        <v>2223</v>
      </c>
      <c r="U14" s="1">
        <v>8131990279</v>
      </c>
      <c r="V14" s="9"/>
      <c r="W14" s="1" t="s">
        <v>2224</v>
      </c>
      <c r="X14" s="1" t="s">
        <v>1718</v>
      </c>
      <c r="Y14" s="1">
        <v>8117342080</v>
      </c>
      <c r="Z14" s="11" t="s">
        <v>2225</v>
      </c>
      <c r="AA14" s="1">
        <v>8117629719</v>
      </c>
      <c r="AB14" s="9"/>
      <c r="AC14" s="1"/>
      <c r="AD14" s="1"/>
      <c r="AE14" s="1"/>
      <c r="AF14" s="1"/>
      <c r="AG14" s="1"/>
      <c r="AI14" s="11" t="s">
        <v>2226</v>
      </c>
    </row>
    <row r="15" spans="1:36" x14ac:dyDescent="0.25">
      <c r="A15" s="1" t="s">
        <v>22</v>
      </c>
      <c r="B15" s="1"/>
      <c r="C15" s="1" t="s">
        <v>2137</v>
      </c>
      <c r="D15" s="1" t="s">
        <v>2227</v>
      </c>
      <c r="E15" s="1" t="s">
        <v>2228</v>
      </c>
      <c r="F15" s="1" t="s">
        <v>4863</v>
      </c>
      <c r="G15" s="1" t="s">
        <v>4874</v>
      </c>
      <c r="H15" s="1" t="s">
        <v>4871</v>
      </c>
      <c r="I15" s="1" t="s">
        <v>5004</v>
      </c>
      <c r="J15" s="1" t="s">
        <v>4896</v>
      </c>
      <c r="K15" s="1" t="s">
        <v>4946</v>
      </c>
      <c r="L15" s="1" t="s">
        <v>2229</v>
      </c>
      <c r="M15" s="1" t="s">
        <v>2230</v>
      </c>
      <c r="N15" s="11" t="s">
        <v>2231</v>
      </c>
      <c r="O15" s="1">
        <v>8115550110</v>
      </c>
      <c r="P15" s="9"/>
      <c r="Q15" s="1" t="s">
        <v>2232</v>
      </c>
      <c r="R15" s="1" t="s">
        <v>2233</v>
      </c>
      <c r="S15" s="1" t="s">
        <v>2234</v>
      </c>
      <c r="T15" s="11" t="s">
        <v>2235</v>
      </c>
      <c r="U15" s="1">
        <v>8112407174</v>
      </c>
      <c r="V15" s="9"/>
      <c r="W15" s="1" t="s">
        <v>2228</v>
      </c>
      <c r="X15" s="1" t="s">
        <v>2229</v>
      </c>
      <c r="Y15" s="1" t="s">
        <v>2230</v>
      </c>
      <c r="Z15" s="11" t="s">
        <v>2231</v>
      </c>
      <c r="AA15" s="1">
        <v>8115550110</v>
      </c>
      <c r="AB15" s="9"/>
      <c r="AC15" s="1"/>
      <c r="AD15" s="1"/>
      <c r="AE15" s="1"/>
      <c r="AF15" s="1"/>
      <c r="AG15" s="1"/>
      <c r="AI15" s="11" t="s">
        <v>2236</v>
      </c>
    </row>
    <row r="16" spans="1:36" x14ac:dyDescent="0.25">
      <c r="A16" s="1" t="s">
        <v>23</v>
      </c>
      <c r="B16" s="18" t="s">
        <v>2828</v>
      </c>
      <c r="C16" s="1" t="s">
        <v>2013</v>
      </c>
      <c r="D16" s="1" t="s">
        <v>2329</v>
      </c>
      <c r="E16" s="1" t="s">
        <v>2330</v>
      </c>
      <c r="F16" s="1" t="s">
        <v>4863</v>
      </c>
      <c r="G16" s="1" t="s">
        <v>4875</v>
      </c>
      <c r="H16" s="1" t="s">
        <v>4869</v>
      </c>
      <c r="I16" s="1" t="s">
        <v>4949</v>
      </c>
      <c r="J16" s="1" t="s">
        <v>4896</v>
      </c>
      <c r="K16" s="1" t="s">
        <v>4911</v>
      </c>
      <c r="L16" s="1" t="s">
        <v>1778</v>
      </c>
      <c r="M16" s="1">
        <v>8180137293</v>
      </c>
      <c r="N16" s="11" t="s">
        <v>2331</v>
      </c>
      <c r="O16" s="1">
        <v>8180137293</v>
      </c>
      <c r="P16" s="9"/>
      <c r="Q16" s="1" t="s">
        <v>2330</v>
      </c>
      <c r="R16" s="1" t="s">
        <v>1778</v>
      </c>
      <c r="S16" s="1">
        <v>8180137293</v>
      </c>
      <c r="T16" s="11" t="s">
        <v>2331</v>
      </c>
      <c r="U16" s="1">
        <v>8180137293</v>
      </c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1" t="s">
        <v>2341</v>
      </c>
    </row>
    <row r="17" spans="1:37" x14ac:dyDescent="0.25">
      <c r="A17" s="1" t="s">
        <v>24</v>
      </c>
      <c r="B17" s="18" t="s">
        <v>4020</v>
      </c>
      <c r="C17" s="1" t="s">
        <v>2137</v>
      </c>
      <c r="D17" s="1" t="s">
        <v>2769</v>
      </c>
      <c r="E17" s="1" t="s">
        <v>2332</v>
      </c>
      <c r="F17" s="1" t="s">
        <v>4863</v>
      </c>
      <c r="G17" s="1" t="s">
        <v>4874</v>
      </c>
      <c r="H17" s="1" t="s">
        <v>4869</v>
      </c>
      <c r="I17" s="1" t="s">
        <v>4933</v>
      </c>
      <c r="J17" s="1" t="s">
        <v>4896</v>
      </c>
      <c r="K17" s="1" t="s">
        <v>4911</v>
      </c>
      <c r="L17" s="1" t="s">
        <v>1522</v>
      </c>
      <c r="M17" s="1" t="s">
        <v>1483</v>
      </c>
      <c r="N17" s="1" t="s">
        <v>1483</v>
      </c>
      <c r="O17" s="1" t="s">
        <v>1483</v>
      </c>
      <c r="P17" s="9"/>
      <c r="Q17" s="1" t="s">
        <v>2333</v>
      </c>
      <c r="R17" s="13" t="s">
        <v>1511</v>
      </c>
      <c r="S17" s="1">
        <v>815008230</v>
      </c>
      <c r="T17" s="11" t="s">
        <v>2339</v>
      </c>
      <c r="U17" s="1" t="s">
        <v>1483</v>
      </c>
      <c r="V17" s="9"/>
      <c r="W17" s="1" t="s">
        <v>2334</v>
      </c>
      <c r="X17" s="1" t="s">
        <v>1511</v>
      </c>
      <c r="Y17" s="1">
        <v>8150008230</v>
      </c>
      <c r="Z17" s="11" t="s">
        <v>2338</v>
      </c>
      <c r="AA17" s="1" t="s">
        <v>1483</v>
      </c>
      <c r="AB17" s="9"/>
      <c r="AC17" s="1" t="s">
        <v>2335</v>
      </c>
      <c r="AD17" s="1" t="s">
        <v>2336</v>
      </c>
      <c r="AE17" s="1">
        <v>8150008230</v>
      </c>
      <c r="AF17" s="11" t="s">
        <v>2337</v>
      </c>
      <c r="AG17" s="1" t="s">
        <v>1483</v>
      </c>
      <c r="AI17" s="11" t="s">
        <v>2340</v>
      </c>
      <c r="AJ17" s="18"/>
      <c r="AK17" s="18"/>
    </row>
    <row r="18" spans="1:37" x14ac:dyDescent="0.25">
      <c r="A18" s="1" t="s">
        <v>25</v>
      </c>
      <c r="B18" s="1"/>
      <c r="C18" s="1" t="s">
        <v>2137</v>
      </c>
      <c r="D18" s="1" t="s">
        <v>2342</v>
      </c>
      <c r="E18" s="1" t="s">
        <v>2343</v>
      </c>
      <c r="F18" s="1" t="s">
        <v>4864</v>
      </c>
      <c r="G18" s="1" t="s">
        <v>4875</v>
      </c>
      <c r="H18" s="1" t="s">
        <v>4869</v>
      </c>
      <c r="I18" s="1" t="s">
        <v>4921</v>
      </c>
      <c r="J18" s="1" t="s">
        <v>4896</v>
      </c>
      <c r="K18" s="1" t="s">
        <v>4943</v>
      </c>
      <c r="L18" s="1" t="s">
        <v>2344</v>
      </c>
      <c r="M18" s="1" t="s">
        <v>1483</v>
      </c>
      <c r="N18" s="1" t="s">
        <v>1483</v>
      </c>
      <c r="O18" s="1" t="s">
        <v>1483</v>
      </c>
      <c r="P18" s="9"/>
      <c r="Q18" s="1" t="s">
        <v>2345</v>
      </c>
      <c r="R18" s="1" t="s">
        <v>2346</v>
      </c>
      <c r="S18" s="1">
        <v>8110222940</v>
      </c>
      <c r="T18" s="11" t="s">
        <v>2347</v>
      </c>
      <c r="U18" s="1">
        <v>8110222940</v>
      </c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1" t="s">
        <v>2348</v>
      </c>
    </row>
    <row r="19" spans="1:37" x14ac:dyDescent="0.25">
      <c r="A19" s="1" t="s">
        <v>26</v>
      </c>
      <c r="B19" s="18" t="s">
        <v>2829</v>
      </c>
      <c r="C19" s="1" t="s">
        <v>2137</v>
      </c>
      <c r="D19" s="1" t="s">
        <v>2349</v>
      </c>
      <c r="E19" s="1" t="s">
        <v>2350</v>
      </c>
      <c r="F19" s="1" t="s">
        <v>4863</v>
      </c>
      <c r="G19" s="1" t="s">
        <v>4872</v>
      </c>
      <c r="H19" s="1" t="s">
        <v>4869</v>
      </c>
      <c r="I19" s="1" t="s">
        <v>4926</v>
      </c>
      <c r="J19" s="1" t="s">
        <v>4896</v>
      </c>
      <c r="K19" s="1" t="s">
        <v>4914</v>
      </c>
      <c r="L19" s="1" t="s">
        <v>2351</v>
      </c>
      <c r="M19" s="1">
        <v>8112918206</v>
      </c>
      <c r="N19" s="11" t="s">
        <v>2352</v>
      </c>
      <c r="O19" s="1">
        <v>8116122920</v>
      </c>
      <c r="P19" s="9"/>
      <c r="Q19" s="1" t="s">
        <v>2350</v>
      </c>
      <c r="R19" s="1" t="s">
        <v>2351</v>
      </c>
      <c r="S19" s="1">
        <v>8112918206</v>
      </c>
      <c r="T19" s="11" t="s">
        <v>2352</v>
      </c>
      <c r="U19" s="1">
        <v>8116122920</v>
      </c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1" t="s">
        <v>2353</v>
      </c>
    </row>
    <row r="20" spans="1:37" x14ac:dyDescent="0.25">
      <c r="A20" s="1" t="s">
        <v>27</v>
      </c>
      <c r="B20" s="1"/>
      <c r="C20" s="1" t="s">
        <v>1398</v>
      </c>
      <c r="D20" s="1" t="s">
        <v>2924</v>
      </c>
      <c r="E20" s="1" t="s">
        <v>2925</v>
      </c>
      <c r="F20" s="1" t="s">
        <v>4863</v>
      </c>
      <c r="G20" s="1" t="s">
        <v>4873</v>
      </c>
      <c r="H20" s="1" t="s">
        <v>4869</v>
      </c>
      <c r="I20" s="1" t="s">
        <v>4926</v>
      </c>
      <c r="J20" s="1" t="s">
        <v>4896</v>
      </c>
      <c r="K20" s="1" t="s">
        <v>4911</v>
      </c>
      <c r="L20" s="1" t="s">
        <v>2926</v>
      </c>
      <c r="M20" s="1">
        <v>8122885668</v>
      </c>
      <c r="N20" s="11" t="s">
        <v>2927</v>
      </c>
      <c r="O20" s="1">
        <v>8122885668</v>
      </c>
      <c r="P20" s="9"/>
      <c r="Q20" s="1" t="s">
        <v>2925</v>
      </c>
      <c r="R20" s="1" t="s">
        <v>2926</v>
      </c>
      <c r="S20" s="1">
        <v>8122885668</v>
      </c>
      <c r="T20" s="11" t="s">
        <v>2927</v>
      </c>
      <c r="U20" s="1">
        <v>8122885668</v>
      </c>
      <c r="V20" s="9"/>
      <c r="W20" s="1" t="s">
        <v>2928</v>
      </c>
      <c r="X20" s="1" t="s">
        <v>2929</v>
      </c>
      <c r="Y20" s="1">
        <v>8184985401</v>
      </c>
      <c r="Z20" s="11" t="s">
        <v>2930</v>
      </c>
      <c r="AA20" s="1">
        <v>8184985401</v>
      </c>
      <c r="AB20" s="9"/>
      <c r="AC20" s="1"/>
      <c r="AD20" s="1"/>
      <c r="AE20" s="1"/>
      <c r="AF20" s="1"/>
      <c r="AG20" s="1"/>
      <c r="AI20" s="11" t="s">
        <v>2820</v>
      </c>
    </row>
    <row r="21" spans="1:37" x14ac:dyDescent="0.25">
      <c r="A21" s="1" t="s">
        <v>28</v>
      </c>
      <c r="B21" s="18" t="s">
        <v>3905</v>
      </c>
      <c r="C21" s="1" t="s">
        <v>2931</v>
      </c>
      <c r="D21" s="1" t="s">
        <v>2932</v>
      </c>
      <c r="E21" s="1" t="s">
        <v>2933</v>
      </c>
      <c r="F21" s="1" t="s">
        <v>4864</v>
      </c>
      <c r="G21" s="1" t="s">
        <v>4875</v>
      </c>
      <c r="H21" s="1" t="s">
        <v>4869</v>
      </c>
      <c r="I21" s="1" t="s">
        <v>4920</v>
      </c>
      <c r="J21" s="1" t="s">
        <v>4896</v>
      </c>
      <c r="K21" s="1" t="s">
        <v>4911</v>
      </c>
      <c r="L21" s="1" t="s">
        <v>1745</v>
      </c>
      <c r="M21" s="1">
        <v>8110017450</v>
      </c>
      <c r="N21" s="11" t="s">
        <v>2934</v>
      </c>
      <c r="O21" s="1">
        <v>8332343957</v>
      </c>
      <c r="P21" s="9"/>
      <c r="Q21" s="1" t="s">
        <v>2933</v>
      </c>
      <c r="R21" s="1" t="s">
        <v>1745</v>
      </c>
      <c r="S21" s="1">
        <v>8110017450</v>
      </c>
      <c r="T21" s="11" t="s">
        <v>2934</v>
      </c>
      <c r="U21" s="1">
        <v>8332343957</v>
      </c>
      <c r="V21" s="9"/>
      <c r="W21" s="1" t="s">
        <v>2935</v>
      </c>
      <c r="X21" s="1" t="s">
        <v>2936</v>
      </c>
      <c r="Y21" s="1">
        <v>8148909569</v>
      </c>
      <c r="Z21" s="11" t="s">
        <v>2937</v>
      </c>
      <c r="AA21" s="1">
        <v>8148909569</v>
      </c>
      <c r="AB21" s="9"/>
      <c r="AC21" s="1"/>
      <c r="AD21" s="1"/>
      <c r="AE21" s="1"/>
      <c r="AF21" s="1"/>
      <c r="AG21" s="1"/>
      <c r="AI21" s="11" t="s">
        <v>2938</v>
      </c>
    </row>
    <row r="22" spans="1:37" x14ac:dyDescent="0.25">
      <c r="A22" s="1" t="s">
        <v>29</v>
      </c>
      <c r="B22" s="18" t="s">
        <v>3903</v>
      </c>
      <c r="C22" s="1" t="s">
        <v>3171</v>
      </c>
      <c r="D22" s="1" t="s">
        <v>3904</v>
      </c>
      <c r="E22" s="1" t="s">
        <v>3407</v>
      </c>
      <c r="F22" s="1" t="s">
        <v>4864</v>
      </c>
      <c r="G22" s="1" t="s">
        <v>4875</v>
      </c>
      <c r="H22" s="1" t="s">
        <v>4869</v>
      </c>
      <c r="I22" s="1" t="s">
        <v>4935</v>
      </c>
      <c r="J22" s="1" t="s">
        <v>4896</v>
      </c>
      <c r="K22" s="1" t="s">
        <v>4924</v>
      </c>
      <c r="L22" s="1" t="s">
        <v>3408</v>
      </c>
      <c r="M22" s="1">
        <v>8180200485</v>
      </c>
      <c r="N22" s="11" t="s">
        <v>3409</v>
      </c>
      <c r="O22" s="1">
        <v>8180200485</v>
      </c>
      <c r="P22" s="9"/>
      <c r="Q22" s="1" t="s">
        <v>3407</v>
      </c>
      <c r="R22" s="1" t="s">
        <v>3408</v>
      </c>
      <c r="S22" s="1">
        <v>8180200485</v>
      </c>
      <c r="T22" s="11" t="s">
        <v>3409</v>
      </c>
      <c r="U22" s="1">
        <v>8180200485</v>
      </c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1" t="s">
        <v>3760</v>
      </c>
    </row>
    <row r="23" spans="1:37" x14ac:dyDescent="0.25">
      <c r="A23" s="1" t="s">
        <v>30</v>
      </c>
      <c r="B23" s="18" t="s">
        <v>3902</v>
      </c>
      <c r="C23" s="1" t="s">
        <v>3182</v>
      </c>
      <c r="D23" s="1" t="s">
        <v>3410</v>
      </c>
      <c r="E23" s="1" t="s">
        <v>3411</v>
      </c>
      <c r="F23" s="1" t="s">
        <v>4863</v>
      </c>
      <c r="G23" s="1" t="s">
        <v>4874</v>
      </c>
      <c r="H23" s="1" t="s">
        <v>4869</v>
      </c>
      <c r="I23" s="1" t="s">
        <v>4925</v>
      </c>
      <c r="J23" s="1" t="s">
        <v>4896</v>
      </c>
      <c r="K23" s="1" t="s">
        <v>4911</v>
      </c>
      <c r="L23" s="1" t="s">
        <v>3412</v>
      </c>
      <c r="M23" s="1">
        <v>8115694412</v>
      </c>
      <c r="N23" s="11" t="s">
        <v>3413</v>
      </c>
      <c r="O23" s="1">
        <v>8115694412</v>
      </c>
      <c r="P23" s="9"/>
      <c r="Q23" s="1" t="s">
        <v>3411</v>
      </c>
      <c r="R23" s="1" t="s">
        <v>3412</v>
      </c>
      <c r="S23" s="1">
        <v>8115694412</v>
      </c>
      <c r="T23" s="11" t="s">
        <v>3413</v>
      </c>
      <c r="U23" s="1">
        <v>8115694412</v>
      </c>
      <c r="V23" s="9"/>
      <c r="W23" s="1" t="s">
        <v>3414</v>
      </c>
      <c r="X23" s="1" t="s">
        <v>1494</v>
      </c>
      <c r="Y23" s="1">
        <v>8120039355</v>
      </c>
      <c r="Z23" s="11" t="s">
        <v>3415</v>
      </c>
      <c r="AA23" s="1">
        <v>8120039355</v>
      </c>
      <c r="AB23" s="9"/>
      <c r="AC23" s="1" t="s">
        <v>3416</v>
      </c>
      <c r="AD23" s="1" t="s">
        <v>3417</v>
      </c>
      <c r="AE23" s="1">
        <v>8181391838</v>
      </c>
      <c r="AF23" s="11" t="s">
        <v>3418</v>
      </c>
      <c r="AG23" s="1">
        <v>8181391838</v>
      </c>
      <c r="AI23" s="11" t="s">
        <v>3761</v>
      </c>
    </row>
    <row r="24" spans="1:37" x14ac:dyDescent="0.25">
      <c r="A24" s="1" t="s">
        <v>31</v>
      </c>
      <c r="B24" s="1"/>
      <c r="C24" s="1" t="s">
        <v>3182</v>
      </c>
      <c r="D24" s="1" t="s">
        <v>3419</v>
      </c>
      <c r="E24" s="1" t="s">
        <v>3420</v>
      </c>
      <c r="F24" s="1" t="s">
        <v>4863</v>
      </c>
      <c r="G24" s="1" t="s">
        <v>4873</v>
      </c>
      <c r="H24" s="1" t="s">
        <v>4869</v>
      </c>
      <c r="I24" s="1" t="s">
        <v>4926</v>
      </c>
      <c r="J24" s="1" t="s">
        <v>4896</v>
      </c>
      <c r="K24" s="1" t="s">
        <v>4911</v>
      </c>
      <c r="L24" s="1" t="s">
        <v>3421</v>
      </c>
      <c r="M24" s="1">
        <v>8182049459</v>
      </c>
      <c r="N24" s="11" t="s">
        <v>3422</v>
      </c>
      <c r="O24" s="1">
        <v>8182049459</v>
      </c>
      <c r="P24" s="9"/>
      <c r="Q24" s="1" t="s">
        <v>3423</v>
      </c>
      <c r="R24" s="1" t="s">
        <v>3424</v>
      </c>
      <c r="S24" s="1">
        <v>8186834364</v>
      </c>
      <c r="T24" s="11" t="s">
        <v>3425</v>
      </c>
      <c r="U24" s="1">
        <v>8186834364</v>
      </c>
      <c r="V24" s="9"/>
      <c r="W24" s="1" t="s">
        <v>3426</v>
      </c>
      <c r="X24" s="1" t="s">
        <v>1553</v>
      </c>
      <c r="Y24" s="1">
        <v>8115825716</v>
      </c>
      <c r="Z24" s="11" t="s">
        <v>3427</v>
      </c>
      <c r="AA24" s="1">
        <v>8115825716</v>
      </c>
      <c r="AB24" s="9"/>
      <c r="AC24" s="1" t="s">
        <v>3420</v>
      </c>
      <c r="AD24" s="1" t="s">
        <v>3421</v>
      </c>
      <c r="AE24" s="1">
        <v>8182049459</v>
      </c>
      <c r="AF24" s="11" t="s">
        <v>3422</v>
      </c>
      <c r="AG24" s="1">
        <v>8182049459</v>
      </c>
      <c r="AI24" s="11" t="s">
        <v>5104</v>
      </c>
    </row>
    <row r="25" spans="1:37" x14ac:dyDescent="0.25">
      <c r="A25" s="1" t="s">
        <v>32</v>
      </c>
      <c r="B25" s="18"/>
      <c r="C25" s="1" t="s">
        <v>4073</v>
      </c>
      <c r="D25" s="1" t="s">
        <v>4064</v>
      </c>
      <c r="E25" s="1" t="s">
        <v>4065</v>
      </c>
      <c r="F25" s="1" t="s">
        <v>4863</v>
      </c>
      <c r="G25" s="1" t="s">
        <v>4873</v>
      </c>
      <c r="H25" s="1" t="s">
        <v>4869</v>
      </c>
      <c r="I25" s="1" t="s">
        <v>5005</v>
      </c>
      <c r="J25" s="1" t="s">
        <v>4896</v>
      </c>
      <c r="K25" s="1" t="s">
        <v>4911</v>
      </c>
      <c r="L25" s="1" t="s">
        <v>4066</v>
      </c>
      <c r="M25" s="1">
        <v>8124207923</v>
      </c>
      <c r="N25" s="11" t="s">
        <v>4067</v>
      </c>
      <c r="O25" s="1">
        <v>8124207923</v>
      </c>
      <c r="P25" s="9"/>
      <c r="Q25" s="1" t="s">
        <v>4065</v>
      </c>
      <c r="R25" s="1" t="s">
        <v>4066</v>
      </c>
      <c r="S25" s="1">
        <v>8124207923</v>
      </c>
      <c r="T25" s="11" t="s">
        <v>4067</v>
      </c>
      <c r="U25" s="1">
        <v>8124207923</v>
      </c>
      <c r="V25" s="9"/>
      <c r="W25" s="1" t="s">
        <v>4068</v>
      </c>
      <c r="X25" s="1" t="s">
        <v>1989</v>
      </c>
      <c r="Y25" s="1">
        <v>8131209188</v>
      </c>
      <c r="Z25" s="11" t="s">
        <v>4069</v>
      </c>
      <c r="AA25" s="1">
        <v>8131209188</v>
      </c>
      <c r="AB25" s="9"/>
      <c r="AC25" s="1" t="s">
        <v>4070</v>
      </c>
      <c r="AD25" s="1" t="s">
        <v>3627</v>
      </c>
      <c r="AE25" s="1">
        <v>8143372739</v>
      </c>
      <c r="AF25" s="11" t="s">
        <v>4071</v>
      </c>
      <c r="AG25" s="1">
        <v>8143372739</v>
      </c>
      <c r="AI25" s="11" t="s">
        <v>4072</v>
      </c>
    </row>
    <row r="26" spans="1:37" x14ac:dyDescent="0.25">
      <c r="A26" s="1" t="s">
        <v>33</v>
      </c>
      <c r="B26" s="1" t="s">
        <v>4084</v>
      </c>
      <c r="C26" s="1" t="s">
        <v>4073</v>
      </c>
      <c r="D26" s="1" t="s">
        <v>4074</v>
      </c>
      <c r="E26" s="1" t="s">
        <v>4075</v>
      </c>
      <c r="F26" s="1" t="s">
        <v>4865</v>
      </c>
      <c r="G26" s="1" t="s">
        <v>4875</v>
      </c>
      <c r="H26" s="1" t="s">
        <v>4869</v>
      </c>
      <c r="I26" s="1" t="s">
        <v>4955</v>
      </c>
      <c r="J26" s="1" t="s">
        <v>4896</v>
      </c>
      <c r="K26" s="1" t="s">
        <v>4911</v>
      </c>
      <c r="L26" s="1" t="s">
        <v>3473</v>
      </c>
      <c r="M26" s="1" t="s">
        <v>1483</v>
      </c>
      <c r="N26" s="1" t="s">
        <v>1483</v>
      </c>
      <c r="O26" s="1" t="s">
        <v>1483</v>
      </c>
      <c r="P26" s="9"/>
      <c r="Q26" s="1" t="s">
        <v>4076</v>
      </c>
      <c r="R26" s="1" t="s">
        <v>4077</v>
      </c>
      <c r="S26" s="1">
        <v>8111766277</v>
      </c>
      <c r="T26" s="11" t="s">
        <v>4078</v>
      </c>
      <c r="U26" s="1">
        <v>8111766277</v>
      </c>
      <c r="V26" s="9"/>
      <c r="W26" s="1" t="s">
        <v>4079</v>
      </c>
      <c r="X26" s="1" t="s">
        <v>1453</v>
      </c>
      <c r="Y26" s="1">
        <v>8115314524</v>
      </c>
      <c r="Z26" s="11" t="s">
        <v>4080</v>
      </c>
      <c r="AA26" s="1">
        <v>8115314524</v>
      </c>
      <c r="AB26" s="9"/>
      <c r="AC26" s="1" t="s">
        <v>4081</v>
      </c>
      <c r="AD26" s="1" t="s">
        <v>4082</v>
      </c>
      <c r="AE26" s="1" t="s">
        <v>1483</v>
      </c>
      <c r="AF26" s="11" t="s">
        <v>4083</v>
      </c>
      <c r="AG26" s="1" t="s">
        <v>1483</v>
      </c>
      <c r="AI26" s="11" t="s">
        <v>4085</v>
      </c>
    </row>
    <row r="27" spans="1:37" x14ac:dyDescent="0.25">
      <c r="A27" s="1" t="s">
        <v>34</v>
      </c>
      <c r="B27" s="1"/>
      <c r="C27" s="1" t="s">
        <v>4273</v>
      </c>
      <c r="D27" s="1" t="s">
        <v>4295</v>
      </c>
      <c r="E27" s="1" t="s">
        <v>4296</v>
      </c>
      <c r="F27" s="1" t="s">
        <v>4865</v>
      </c>
      <c r="G27" s="1" t="s">
        <v>4874</v>
      </c>
      <c r="H27" s="1" t="s">
        <v>4869</v>
      </c>
      <c r="I27" s="1" t="s">
        <v>5006</v>
      </c>
      <c r="J27" s="1" t="s">
        <v>4896</v>
      </c>
      <c r="K27" s="1" t="s">
        <v>4911</v>
      </c>
      <c r="L27" s="1" t="s">
        <v>1468</v>
      </c>
      <c r="M27" s="1">
        <v>5542467112</v>
      </c>
      <c r="N27" s="11" t="s">
        <v>4297</v>
      </c>
      <c r="O27" s="1">
        <v>5542467112</v>
      </c>
      <c r="P27" s="9"/>
      <c r="Q27" s="1" t="s">
        <v>4296</v>
      </c>
      <c r="R27" s="1" t="s">
        <v>1468</v>
      </c>
      <c r="S27" s="1">
        <v>5542467112</v>
      </c>
      <c r="T27" s="11" t="s">
        <v>4297</v>
      </c>
      <c r="U27" s="1">
        <v>5542467112</v>
      </c>
      <c r="V27" s="9"/>
      <c r="W27" s="1" t="s">
        <v>4298</v>
      </c>
      <c r="X27" s="1" t="s">
        <v>4299</v>
      </c>
      <c r="Y27" s="1">
        <v>8117998512</v>
      </c>
      <c r="Z27" s="11" t="s">
        <v>4300</v>
      </c>
      <c r="AA27" s="1">
        <v>8117998512</v>
      </c>
      <c r="AB27" s="9"/>
      <c r="AC27" s="1" t="s">
        <v>4301</v>
      </c>
      <c r="AD27" s="1" t="s">
        <v>4302</v>
      </c>
      <c r="AE27" s="1">
        <v>8122019301</v>
      </c>
      <c r="AF27" s="11" t="s">
        <v>4303</v>
      </c>
      <c r="AG27" s="1">
        <v>8122019301</v>
      </c>
      <c r="AI27" s="11" t="s">
        <v>4304</v>
      </c>
    </row>
    <row r="28" spans="1:37" x14ac:dyDescent="0.25">
      <c r="A28" s="1" t="s">
        <v>35</v>
      </c>
      <c r="B28" s="18" t="s">
        <v>4496</v>
      </c>
      <c r="C28" s="1" t="s">
        <v>4490</v>
      </c>
      <c r="D28" s="1" t="s">
        <v>4495</v>
      </c>
      <c r="E28" s="1" t="s">
        <v>4497</v>
      </c>
      <c r="F28" s="1" t="s">
        <v>4865</v>
      </c>
      <c r="G28" s="1" t="s">
        <v>4875</v>
      </c>
      <c r="H28" s="1" t="s">
        <v>4869</v>
      </c>
      <c r="I28" s="1" t="s">
        <v>5007</v>
      </c>
      <c r="J28" s="1" t="s">
        <v>4896</v>
      </c>
      <c r="K28" s="1" t="s">
        <v>4912</v>
      </c>
      <c r="L28" s="1" t="s">
        <v>4498</v>
      </c>
      <c r="M28" s="1" t="s">
        <v>4499</v>
      </c>
      <c r="N28" s="11" t="s">
        <v>4500</v>
      </c>
      <c r="O28" s="1">
        <v>8117605822</v>
      </c>
      <c r="P28" s="9"/>
      <c r="Q28" s="1" t="s">
        <v>4497</v>
      </c>
      <c r="R28" s="1" t="s">
        <v>4498</v>
      </c>
      <c r="S28" s="1" t="s">
        <v>4499</v>
      </c>
      <c r="T28" s="11" t="s">
        <v>4500</v>
      </c>
      <c r="U28" s="1">
        <v>8117605822</v>
      </c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1" t="s">
        <v>4501</v>
      </c>
    </row>
    <row r="29" spans="1:37" x14ac:dyDescent="0.25">
      <c r="A29" s="1" t="s">
        <v>36</v>
      </c>
      <c r="B29" s="1"/>
      <c r="C29" s="1" t="s">
        <v>3076</v>
      </c>
      <c r="D29" s="1" t="s">
        <v>4502</v>
      </c>
      <c r="E29" s="1" t="s">
        <v>3078</v>
      </c>
      <c r="F29" s="1" t="s">
        <v>4863</v>
      </c>
      <c r="G29" s="1" t="s">
        <v>4874</v>
      </c>
      <c r="H29" s="1" t="s">
        <v>4869</v>
      </c>
      <c r="I29" s="1" t="s">
        <v>4921</v>
      </c>
      <c r="J29" s="1" t="s">
        <v>4896</v>
      </c>
      <c r="K29" s="1" t="s">
        <v>5008</v>
      </c>
      <c r="L29" s="1" t="s">
        <v>1511</v>
      </c>
      <c r="M29" s="1">
        <v>821214433</v>
      </c>
      <c r="N29" s="11" t="s">
        <v>4503</v>
      </c>
      <c r="O29" s="1">
        <v>821214433</v>
      </c>
      <c r="P29" s="9"/>
      <c r="Q29" s="1" t="s">
        <v>3078</v>
      </c>
      <c r="R29" s="1" t="s">
        <v>1511</v>
      </c>
      <c r="S29" s="1">
        <v>821214433</v>
      </c>
      <c r="T29" s="11" t="s">
        <v>4503</v>
      </c>
      <c r="U29" s="1">
        <v>821214433</v>
      </c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1" t="s">
        <v>4504</v>
      </c>
    </row>
    <row r="30" spans="1:37" x14ac:dyDescent="0.25">
      <c r="A30" s="1" t="s">
        <v>37</v>
      </c>
      <c r="B30" s="18" t="s">
        <v>4661</v>
      </c>
      <c r="C30" s="1" t="s">
        <v>4375</v>
      </c>
      <c r="D30" s="38" t="s">
        <v>4549</v>
      </c>
      <c r="E30" s="1" t="s">
        <v>4550</v>
      </c>
      <c r="F30" s="1" t="s">
        <v>4865</v>
      </c>
      <c r="G30" s="1" t="s">
        <v>4874</v>
      </c>
      <c r="H30" s="1" t="s">
        <v>4869</v>
      </c>
      <c r="I30" s="1" t="s">
        <v>4917</v>
      </c>
      <c r="J30" s="1" t="s">
        <v>4896</v>
      </c>
      <c r="K30" s="1" t="s">
        <v>4911</v>
      </c>
      <c r="L30" s="1" t="s">
        <v>4551</v>
      </c>
      <c r="M30" s="1">
        <v>8135848456</v>
      </c>
      <c r="N30" s="11" t="s">
        <v>4552</v>
      </c>
      <c r="O30" s="1">
        <v>8115966112</v>
      </c>
      <c r="P30" s="9"/>
      <c r="Q30" s="1" t="s">
        <v>4550</v>
      </c>
      <c r="R30" s="1" t="s">
        <v>4551</v>
      </c>
      <c r="S30" s="1">
        <v>8135848456</v>
      </c>
      <c r="T30" s="11" t="s">
        <v>4552</v>
      </c>
      <c r="U30" s="1">
        <v>8115966112</v>
      </c>
      <c r="V30" s="9"/>
      <c r="W30" s="1" t="s">
        <v>4553</v>
      </c>
      <c r="X30" s="1" t="s">
        <v>4554</v>
      </c>
      <c r="Y30" s="1">
        <v>8135848456</v>
      </c>
      <c r="Z30" s="11" t="s">
        <v>4555</v>
      </c>
      <c r="AA30" s="1">
        <v>8110601755</v>
      </c>
      <c r="AB30" s="9"/>
      <c r="AC30" s="1" t="s">
        <v>4556</v>
      </c>
      <c r="AD30" s="1" t="s">
        <v>4557</v>
      </c>
      <c r="AE30" s="1">
        <v>8135848456</v>
      </c>
      <c r="AF30" s="11" t="s">
        <v>4558</v>
      </c>
      <c r="AG30" s="1">
        <v>8124966244</v>
      </c>
      <c r="AI30" s="11" t="s">
        <v>4559</v>
      </c>
    </row>
    <row r="31" spans="1:37" x14ac:dyDescent="0.25">
      <c r="A31" s="1" t="s">
        <v>38</v>
      </c>
      <c r="B31" s="18" t="s">
        <v>5210</v>
      </c>
      <c r="C31" s="1" t="s">
        <v>3053</v>
      </c>
      <c r="D31" s="1" t="s">
        <v>5209</v>
      </c>
      <c r="E31" s="1" t="s">
        <v>5211</v>
      </c>
      <c r="F31" s="1" t="s">
        <v>4865</v>
      </c>
      <c r="G31" s="1" t="s">
        <v>4873</v>
      </c>
      <c r="H31" s="1" t="s">
        <v>4869</v>
      </c>
      <c r="I31" s="1" t="s">
        <v>5256</v>
      </c>
      <c r="J31" s="1" t="s">
        <v>4896</v>
      </c>
      <c r="K31" s="1" t="s">
        <v>4911</v>
      </c>
      <c r="L31" s="1" t="s">
        <v>1453</v>
      </c>
      <c r="M31" s="1">
        <v>8130387472</v>
      </c>
      <c r="N31" s="11" t="s">
        <v>5212</v>
      </c>
      <c r="O31" s="1">
        <v>8130387472</v>
      </c>
      <c r="P31" s="9"/>
      <c r="Q31" s="1" t="s">
        <v>5211</v>
      </c>
      <c r="R31" s="1" t="s">
        <v>1453</v>
      </c>
      <c r="S31" s="1">
        <v>8130387472</v>
      </c>
      <c r="T31" s="11" t="s">
        <v>5212</v>
      </c>
      <c r="U31" s="1">
        <v>8130387472</v>
      </c>
      <c r="V31" s="9"/>
      <c r="W31" s="1" t="s">
        <v>5213</v>
      </c>
      <c r="X31" s="1" t="s">
        <v>5214</v>
      </c>
      <c r="Y31" s="1">
        <v>8126427675</v>
      </c>
      <c r="Z31" s="11" t="s">
        <v>5215</v>
      </c>
      <c r="AA31" s="1">
        <v>8126427675</v>
      </c>
      <c r="AB31" s="9"/>
      <c r="AC31" s="1" t="s">
        <v>5216</v>
      </c>
      <c r="AD31" s="1" t="s">
        <v>5217</v>
      </c>
      <c r="AE31" s="1">
        <v>8120785154</v>
      </c>
      <c r="AF31" s="11" t="s">
        <v>5218</v>
      </c>
      <c r="AG31" s="1">
        <v>8120785154</v>
      </c>
      <c r="AI31" s="11" t="s">
        <v>5219</v>
      </c>
    </row>
    <row r="32" spans="1:37" x14ac:dyDescent="0.25">
      <c r="A32" s="1" t="s">
        <v>39</v>
      </c>
      <c r="B32" s="1"/>
      <c r="C32" s="1" t="s">
        <v>5202</v>
      </c>
      <c r="D32" s="1" t="s">
        <v>5221</v>
      </c>
      <c r="E32" s="1" t="s">
        <v>5220</v>
      </c>
      <c r="F32" s="1" t="s">
        <v>4867</v>
      </c>
      <c r="G32" s="1" t="s">
        <v>4875</v>
      </c>
      <c r="H32" s="1" t="s">
        <v>4869</v>
      </c>
      <c r="I32" s="1" t="s">
        <v>5257</v>
      </c>
      <c r="J32" s="1" t="s">
        <v>4896</v>
      </c>
      <c r="K32" s="1" t="s">
        <v>4946</v>
      </c>
      <c r="L32" s="1" t="s">
        <v>1778</v>
      </c>
      <c r="M32" s="1">
        <v>8180303507</v>
      </c>
      <c r="N32" s="1" t="s">
        <v>5222</v>
      </c>
      <c r="O32" s="1">
        <v>81347626</v>
      </c>
      <c r="P32" s="9"/>
      <c r="Q32" s="1" t="s">
        <v>5220</v>
      </c>
      <c r="R32" s="1" t="s">
        <v>1778</v>
      </c>
      <c r="S32" s="1">
        <v>8180303507</v>
      </c>
      <c r="T32" s="1" t="s">
        <v>5222</v>
      </c>
      <c r="U32" s="1">
        <v>81347626</v>
      </c>
      <c r="V32" s="9"/>
      <c r="W32" s="1" t="s">
        <v>5223</v>
      </c>
      <c r="X32" s="1" t="s">
        <v>5224</v>
      </c>
      <c r="Y32" s="1">
        <v>8180303507</v>
      </c>
      <c r="Z32" s="11" t="s">
        <v>5225</v>
      </c>
      <c r="AA32" s="1">
        <v>8134047626</v>
      </c>
      <c r="AB32" s="9"/>
      <c r="AC32" s="1" t="s">
        <v>5226</v>
      </c>
      <c r="AD32" s="1" t="s">
        <v>5227</v>
      </c>
      <c r="AE32" s="1">
        <v>8180203507</v>
      </c>
      <c r="AF32" s="11" t="s">
        <v>5228</v>
      </c>
      <c r="AG32" s="1">
        <v>8134047626</v>
      </c>
      <c r="AI32" s="1"/>
    </row>
    <row r="33" spans="1:35" x14ac:dyDescent="0.25">
      <c r="A33" s="1" t="s">
        <v>40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41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42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43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44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45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46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47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48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49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50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51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52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53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54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55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56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57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58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SUBTOTAL(103,Tabla4[ARCHIVO])</f>
        <v>30</v>
      </c>
    </row>
    <row r="53" spans="1:35" x14ac:dyDescent="0.25">
      <c r="I53" s="1"/>
    </row>
    <row r="1048576" spans="9:9" x14ac:dyDescent="0.25">
      <c r="I1048576" s="1"/>
    </row>
  </sheetData>
  <hyperlinks>
    <hyperlink ref="AI2" r:id="rId1" xr:uid="{00000000-0004-0000-0100-000000000000}"/>
    <hyperlink ref="N2" r:id="rId2" xr:uid="{00000000-0004-0000-0100-000001000000}"/>
    <hyperlink ref="T2" r:id="rId3" xr:uid="{00000000-0004-0000-0100-000002000000}"/>
    <hyperlink ref="Z2" r:id="rId4" xr:uid="{00000000-0004-0000-0100-000003000000}"/>
    <hyperlink ref="N3" r:id="rId5" xr:uid="{00000000-0004-0000-0100-000004000000}"/>
    <hyperlink ref="T3" r:id="rId6" xr:uid="{00000000-0004-0000-0100-000005000000}"/>
    <hyperlink ref="Z3" r:id="rId7" xr:uid="{00000000-0004-0000-0100-000006000000}"/>
    <hyperlink ref="AI3" r:id="rId8" xr:uid="{00000000-0004-0000-0100-000007000000}"/>
    <hyperlink ref="N4" r:id="rId9" xr:uid="{00000000-0004-0000-0100-000008000000}"/>
    <hyperlink ref="T4" r:id="rId10" xr:uid="{00000000-0004-0000-0100-000009000000}"/>
    <hyperlink ref="Z4" r:id="rId11" xr:uid="{00000000-0004-0000-0100-00000A000000}"/>
    <hyperlink ref="AF4" r:id="rId12" xr:uid="{00000000-0004-0000-0100-00000B000000}"/>
    <hyperlink ref="AI4" r:id="rId13" xr:uid="{00000000-0004-0000-0100-00000C000000}"/>
    <hyperlink ref="N5" r:id="rId14" xr:uid="{00000000-0004-0000-0100-00000D000000}"/>
    <hyperlink ref="T5" r:id="rId15" xr:uid="{00000000-0004-0000-0100-00000E000000}"/>
    <hyperlink ref="Z5" r:id="rId16" xr:uid="{00000000-0004-0000-0100-00000F000000}"/>
    <hyperlink ref="AI5" r:id="rId17" xr:uid="{00000000-0004-0000-0100-000010000000}"/>
    <hyperlink ref="N6" r:id="rId18" xr:uid="{00000000-0004-0000-0100-000011000000}"/>
    <hyperlink ref="T6" r:id="rId19" xr:uid="{00000000-0004-0000-0100-000012000000}"/>
    <hyperlink ref="Z6" r:id="rId20" xr:uid="{00000000-0004-0000-0100-000013000000}"/>
    <hyperlink ref="AI6" r:id="rId21" xr:uid="{00000000-0004-0000-0100-000014000000}"/>
    <hyperlink ref="N7" r:id="rId22" xr:uid="{00000000-0004-0000-0100-000015000000}"/>
    <hyperlink ref="Z7" r:id="rId23" xr:uid="{00000000-0004-0000-0100-000016000000}"/>
    <hyperlink ref="T7" r:id="rId24" xr:uid="{00000000-0004-0000-0100-000017000000}"/>
    <hyperlink ref="AF7" r:id="rId25" xr:uid="{00000000-0004-0000-0100-000018000000}"/>
    <hyperlink ref="AI7" r:id="rId26" xr:uid="{00000000-0004-0000-0100-000019000000}"/>
    <hyperlink ref="N9" r:id="rId27" xr:uid="{00000000-0004-0000-0100-00001A000000}"/>
    <hyperlink ref="T9" r:id="rId28" xr:uid="{00000000-0004-0000-0100-00001B000000}"/>
    <hyperlink ref="AI9" r:id="rId29" xr:uid="{00000000-0004-0000-0100-00001C000000}"/>
    <hyperlink ref="AI8" r:id="rId30" xr:uid="{00000000-0004-0000-0100-00001D000000}"/>
    <hyperlink ref="N10" r:id="rId31" xr:uid="{00000000-0004-0000-0100-00001E000000}"/>
    <hyperlink ref="T10" r:id="rId32" xr:uid="{00000000-0004-0000-0100-00001F000000}"/>
    <hyperlink ref="Z10" r:id="rId33" xr:uid="{00000000-0004-0000-0100-000020000000}"/>
    <hyperlink ref="AF10" r:id="rId34" xr:uid="{00000000-0004-0000-0100-000021000000}"/>
    <hyperlink ref="AI10" r:id="rId35" xr:uid="{00000000-0004-0000-0100-000022000000}"/>
    <hyperlink ref="N11" r:id="rId36" xr:uid="{00000000-0004-0000-0100-000023000000}"/>
    <hyperlink ref="T11" r:id="rId37" xr:uid="{00000000-0004-0000-0100-000024000000}"/>
    <hyperlink ref="Z11" r:id="rId38" xr:uid="{00000000-0004-0000-0100-000025000000}"/>
    <hyperlink ref="AF11" r:id="rId39" xr:uid="{00000000-0004-0000-0100-000026000000}"/>
    <hyperlink ref="AI11" r:id="rId40" xr:uid="{00000000-0004-0000-0100-000027000000}"/>
    <hyperlink ref="N12" r:id="rId41" xr:uid="{00000000-0004-0000-0100-000028000000}"/>
    <hyperlink ref="T12" r:id="rId42" xr:uid="{00000000-0004-0000-0100-000029000000}"/>
    <hyperlink ref="Z12" r:id="rId43" xr:uid="{00000000-0004-0000-0100-00002A000000}"/>
    <hyperlink ref="AI12" r:id="rId44" xr:uid="{00000000-0004-0000-0100-00002B000000}"/>
    <hyperlink ref="N13" r:id="rId45" xr:uid="{00000000-0004-0000-0100-00002C000000}"/>
    <hyperlink ref="Z13" r:id="rId46" xr:uid="{00000000-0004-0000-0100-00002D000000}"/>
    <hyperlink ref="T13" r:id="rId47" xr:uid="{00000000-0004-0000-0100-00002E000000}"/>
    <hyperlink ref="AI13" r:id="rId48" xr:uid="{00000000-0004-0000-0100-00002F000000}"/>
    <hyperlink ref="N14" r:id="rId49" xr:uid="{00000000-0004-0000-0100-000030000000}"/>
    <hyperlink ref="T14" r:id="rId50" xr:uid="{00000000-0004-0000-0100-000031000000}"/>
    <hyperlink ref="Z14" r:id="rId51" xr:uid="{00000000-0004-0000-0100-000032000000}"/>
    <hyperlink ref="AI14" r:id="rId52" xr:uid="{00000000-0004-0000-0100-000033000000}"/>
    <hyperlink ref="N15" r:id="rId53" xr:uid="{00000000-0004-0000-0100-000034000000}"/>
    <hyperlink ref="Z15" r:id="rId54" xr:uid="{00000000-0004-0000-0100-000035000000}"/>
    <hyperlink ref="T15" r:id="rId55" xr:uid="{00000000-0004-0000-0100-000036000000}"/>
    <hyperlink ref="AI15" r:id="rId56" xr:uid="{00000000-0004-0000-0100-000037000000}"/>
    <hyperlink ref="N16" r:id="rId57" xr:uid="{00000000-0004-0000-0100-000038000000}"/>
    <hyperlink ref="T17" r:id="rId58" xr:uid="{00000000-0004-0000-0100-000039000000}"/>
    <hyperlink ref="Z17" r:id="rId59" xr:uid="{00000000-0004-0000-0100-00003A000000}"/>
    <hyperlink ref="AF17" r:id="rId60" xr:uid="{00000000-0004-0000-0100-00003B000000}"/>
    <hyperlink ref="AI17" r:id="rId61" xr:uid="{00000000-0004-0000-0100-00003C000000}"/>
    <hyperlink ref="AI16" r:id="rId62" xr:uid="{00000000-0004-0000-0100-00003D000000}"/>
    <hyperlink ref="T18" r:id="rId63" xr:uid="{00000000-0004-0000-0100-00003E000000}"/>
    <hyperlink ref="AI18" r:id="rId64" xr:uid="{00000000-0004-0000-0100-00003F000000}"/>
    <hyperlink ref="N19" r:id="rId65" xr:uid="{00000000-0004-0000-0100-000040000000}"/>
    <hyperlink ref="AI19" r:id="rId66" xr:uid="{00000000-0004-0000-0100-000041000000}"/>
    <hyperlink ref="N20" r:id="rId67" xr:uid="{00000000-0004-0000-0100-000042000000}"/>
    <hyperlink ref="T20" r:id="rId68" xr:uid="{00000000-0004-0000-0100-000043000000}"/>
    <hyperlink ref="Z20" r:id="rId69" xr:uid="{00000000-0004-0000-0100-000044000000}"/>
    <hyperlink ref="AI20" r:id="rId70" xr:uid="{00000000-0004-0000-0100-000045000000}"/>
    <hyperlink ref="N21" r:id="rId71" xr:uid="{00000000-0004-0000-0100-000046000000}"/>
    <hyperlink ref="T21" r:id="rId72" xr:uid="{00000000-0004-0000-0100-000047000000}"/>
    <hyperlink ref="Z21" r:id="rId73" xr:uid="{00000000-0004-0000-0100-000048000000}"/>
    <hyperlink ref="AI21" r:id="rId74" xr:uid="{00000000-0004-0000-0100-000049000000}"/>
    <hyperlink ref="N22" r:id="rId75" xr:uid="{00000000-0004-0000-0100-00004A000000}"/>
    <hyperlink ref="T22" r:id="rId76" xr:uid="{00000000-0004-0000-0100-00004B000000}"/>
    <hyperlink ref="N23" r:id="rId77" xr:uid="{00000000-0004-0000-0100-00004C000000}"/>
    <hyperlink ref="Z23" r:id="rId78" xr:uid="{00000000-0004-0000-0100-00004D000000}"/>
    <hyperlink ref="T23" r:id="rId79" xr:uid="{00000000-0004-0000-0100-00004E000000}"/>
    <hyperlink ref="AF23" r:id="rId80" xr:uid="{00000000-0004-0000-0100-00004F000000}"/>
    <hyperlink ref="N24" r:id="rId81" xr:uid="{00000000-0004-0000-0100-000050000000}"/>
    <hyperlink ref="T24" r:id="rId82" xr:uid="{00000000-0004-0000-0100-000051000000}"/>
    <hyperlink ref="Z24" r:id="rId83" xr:uid="{00000000-0004-0000-0100-000052000000}"/>
    <hyperlink ref="AF24" r:id="rId84" xr:uid="{00000000-0004-0000-0100-000053000000}"/>
    <hyperlink ref="AI22" r:id="rId85" xr:uid="{00000000-0004-0000-0100-000054000000}"/>
    <hyperlink ref="AI23" r:id="rId86" xr:uid="{00000000-0004-0000-0100-000055000000}"/>
    <hyperlink ref="AI24" r:id="rId87" xr:uid="{00000000-0004-0000-0100-000056000000}"/>
    <hyperlink ref="T16" r:id="rId88" xr:uid="{00000000-0004-0000-0100-000057000000}"/>
    <hyperlink ref="T19" r:id="rId89" xr:uid="{00000000-0004-0000-0100-000058000000}"/>
    <hyperlink ref="Z8" r:id="rId90" xr:uid="{00000000-0004-0000-0100-000059000000}"/>
    <hyperlink ref="N25" r:id="rId91" xr:uid="{00000000-0004-0000-0100-00005A000000}"/>
    <hyperlink ref="T25" r:id="rId92" xr:uid="{00000000-0004-0000-0100-00005B000000}"/>
    <hyperlink ref="Z25" r:id="rId93" xr:uid="{00000000-0004-0000-0100-00005C000000}"/>
    <hyperlink ref="AF25" r:id="rId94" xr:uid="{00000000-0004-0000-0100-00005D000000}"/>
    <hyperlink ref="AI25" r:id="rId95" xr:uid="{00000000-0004-0000-0100-00005E000000}"/>
    <hyperlink ref="T26" r:id="rId96" xr:uid="{00000000-0004-0000-0100-00005F000000}"/>
    <hyperlink ref="Z26" r:id="rId97" xr:uid="{00000000-0004-0000-0100-000060000000}"/>
    <hyperlink ref="AF26" r:id="rId98" xr:uid="{00000000-0004-0000-0100-000061000000}"/>
    <hyperlink ref="AI26" r:id="rId99" xr:uid="{00000000-0004-0000-0100-000062000000}"/>
    <hyperlink ref="N27" r:id="rId100" xr:uid="{00000000-0004-0000-0100-000063000000}"/>
    <hyperlink ref="T27" r:id="rId101" xr:uid="{00000000-0004-0000-0100-000064000000}"/>
    <hyperlink ref="Z27" r:id="rId102" xr:uid="{00000000-0004-0000-0100-000065000000}"/>
    <hyperlink ref="AF27" r:id="rId103" xr:uid="{00000000-0004-0000-0100-000066000000}"/>
    <hyperlink ref="AI27" r:id="rId104" xr:uid="{00000000-0004-0000-0100-000067000000}"/>
    <hyperlink ref="N28" r:id="rId105" xr:uid="{00000000-0004-0000-0100-000068000000}"/>
    <hyperlink ref="T28" r:id="rId106" xr:uid="{00000000-0004-0000-0100-000069000000}"/>
    <hyperlink ref="AI28" r:id="rId107" xr:uid="{00000000-0004-0000-0100-00006A000000}"/>
    <hyperlink ref="N29" r:id="rId108" xr:uid="{00000000-0004-0000-0100-00006B000000}"/>
    <hyperlink ref="T29" r:id="rId109" xr:uid="{00000000-0004-0000-0100-00006C000000}"/>
    <hyperlink ref="AI29" r:id="rId110" xr:uid="{00000000-0004-0000-0100-00006D000000}"/>
    <hyperlink ref="N30" r:id="rId111" xr:uid="{00000000-0004-0000-0100-00006E000000}"/>
    <hyperlink ref="T30" r:id="rId112" xr:uid="{00000000-0004-0000-0100-00006F000000}"/>
    <hyperlink ref="Z30" r:id="rId113" xr:uid="{00000000-0004-0000-0100-000070000000}"/>
    <hyperlink ref="AF30" r:id="rId114" xr:uid="{00000000-0004-0000-0100-000071000000}"/>
    <hyperlink ref="AI30" r:id="rId115" xr:uid="{00000000-0004-0000-0100-000072000000}"/>
    <hyperlink ref="N31" r:id="rId116" xr:uid="{00000000-0004-0000-0100-000073000000}"/>
    <hyperlink ref="T31" r:id="rId117" xr:uid="{00000000-0004-0000-0100-000074000000}"/>
    <hyperlink ref="Z31" r:id="rId118" xr:uid="{00000000-0004-0000-0100-000075000000}"/>
    <hyperlink ref="AF31" r:id="rId119" xr:uid="{00000000-0004-0000-0100-000076000000}"/>
    <hyperlink ref="AI31" r:id="rId120" xr:uid="{00000000-0004-0000-0100-000077000000}"/>
    <hyperlink ref="Z32" r:id="rId121" xr:uid="{00000000-0004-0000-0100-000078000000}"/>
    <hyperlink ref="AF32" r:id="rId122" xr:uid="{00000000-0004-0000-0100-000079000000}"/>
  </hyperlinks>
  <pageMargins left="0.7" right="0.7" top="0.75" bottom="0.75" header="0.3" footer="0.3"/>
  <pageSetup paperSize="9" orientation="portrait" r:id="rId123"/>
  <tableParts count="1">
    <tablePart r:id="rId12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0100-000001000000}">
          <x14:formula1>
            <xm:f>DATOS!$B$13:$B$16</xm:f>
          </x14:formula1>
          <xm:sqref>H2:H51</xm:sqref>
        </x14:dataValidation>
        <x14:dataValidation type="list" allowBlank="1" showInputMessage="1" showErrorMessage="1" xr:uid="{00000000-0002-0000-0100-000002000000}">
          <x14:formula1>
            <xm:f>DATOS!$B$20:$B$23</xm:f>
          </x14:formula1>
          <xm:sqref>G2:G51</xm:sqref>
        </x14:dataValidation>
        <x14:dataValidation type="list" allowBlank="1" showInputMessage="1" showErrorMessage="1" xr:uid="{00000000-0002-0000-0100-000003000000}">
          <x14:formula1>
            <xm:f>DATOS!$E$7:$E$38</xm:f>
          </x14:formula1>
          <xm:sqref>J2:J51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2"/>
  <sheetViews>
    <sheetView topLeftCell="Z12" zoomScale="80" zoomScaleNormal="80" workbookViewId="0">
      <selection activeCell="X20" sqref="X20"/>
    </sheetView>
  </sheetViews>
  <sheetFormatPr baseColWidth="10" defaultRowHeight="15" x14ac:dyDescent="0.25"/>
  <cols>
    <col min="1" max="1" width="7.28515625" customWidth="1"/>
    <col min="2" max="2" width="16.140625" customWidth="1"/>
    <col min="3" max="3" width="20.85546875" bestFit="1" customWidth="1"/>
    <col min="4" max="4" width="24.85546875" customWidth="1"/>
    <col min="5" max="5" width="58.42578125" customWidth="1"/>
    <col min="6" max="6" width="29.140625" customWidth="1"/>
    <col min="7" max="7" width="28.42578125" customWidth="1"/>
    <col min="8" max="8" width="13.5703125" customWidth="1"/>
    <col min="9" max="9" width="20.28515625" bestFit="1" customWidth="1"/>
    <col min="10" max="10" width="13.5703125" customWidth="1"/>
    <col min="11" max="11" width="32.7109375" customWidth="1"/>
    <col min="12" max="12" width="49.28515625" bestFit="1" customWidth="1"/>
    <col min="13" max="13" width="31.5703125" customWidth="1"/>
    <col min="14" max="14" width="34.5703125" bestFit="1" customWidth="1"/>
    <col min="15" max="15" width="12" bestFit="1" customWidth="1"/>
    <col min="16" max="16" width="11.5703125" customWidth="1"/>
    <col min="17" max="17" width="46.140625" customWidth="1"/>
    <col min="18" max="18" width="49.28515625" bestFit="1" customWidth="1"/>
    <col min="19" max="19" width="32.7109375" customWidth="1"/>
    <col min="20" max="20" width="30" bestFit="1" customWidth="1"/>
    <col min="21" max="21" width="12.5703125" customWidth="1"/>
    <col min="22" max="22" width="11.5703125" customWidth="1"/>
    <col min="23" max="23" width="47.140625" customWidth="1"/>
    <col min="24" max="24" width="50.28515625" bestFit="1" customWidth="1"/>
    <col min="25" max="25" width="32.7109375" customWidth="1"/>
    <col min="26" max="26" width="33.42578125" bestFit="1" customWidth="1"/>
    <col min="27" max="27" width="13.5703125" customWidth="1"/>
    <col min="28" max="28" width="12.7109375" customWidth="1"/>
    <col min="29" max="29" width="48.28515625" customWidth="1"/>
    <col min="30" max="30" width="32.28515625" customWidth="1"/>
    <col min="31" max="31" width="33.7109375" customWidth="1"/>
    <col min="32" max="32" width="25.7109375" bestFit="1" customWidth="1"/>
    <col min="33" max="33" width="14.85546875" customWidth="1"/>
    <col min="34" max="34" width="12.7109375" customWidth="1"/>
    <col min="35" max="35" width="67" customWidth="1"/>
  </cols>
  <sheetData>
    <row r="1" spans="1:36" s="4" customFormat="1" ht="34.5" customHeight="1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6" x14ac:dyDescent="0.25">
      <c r="A2" s="1" t="s">
        <v>60</v>
      </c>
      <c r="B2" s="18" t="s">
        <v>2830</v>
      </c>
      <c r="C2" s="1" t="s">
        <v>1393</v>
      </c>
      <c r="D2" s="31" t="s">
        <v>1392</v>
      </c>
      <c r="E2" s="1" t="s">
        <v>1394</v>
      </c>
      <c r="F2" s="1" t="s">
        <v>4863</v>
      </c>
      <c r="G2" s="1" t="s">
        <v>4875</v>
      </c>
      <c r="H2" s="1" t="s">
        <v>4868</v>
      </c>
      <c r="I2" s="1" t="s">
        <v>4916</v>
      </c>
      <c r="J2" s="1" t="s">
        <v>4896</v>
      </c>
      <c r="K2" s="44" t="s">
        <v>4915</v>
      </c>
      <c r="L2" s="1" t="s">
        <v>1395</v>
      </c>
      <c r="M2" s="1" t="s">
        <v>1396</v>
      </c>
      <c r="N2" s="11" t="s">
        <v>1397</v>
      </c>
      <c r="O2" s="1" t="s">
        <v>1398</v>
      </c>
      <c r="P2" s="9"/>
      <c r="Q2" s="1" t="s">
        <v>1394</v>
      </c>
      <c r="R2" s="1" t="s">
        <v>1395</v>
      </c>
      <c r="S2" s="1" t="s">
        <v>1396</v>
      </c>
      <c r="T2" s="11" t="s">
        <v>1397</v>
      </c>
      <c r="U2" s="1" t="s">
        <v>1398</v>
      </c>
      <c r="V2" s="9"/>
      <c r="W2" s="1" t="s">
        <v>1399</v>
      </c>
      <c r="X2" s="1" t="s">
        <v>1400</v>
      </c>
      <c r="Y2" s="1" t="s">
        <v>1401</v>
      </c>
      <c r="Z2" s="11" t="s">
        <v>1402</v>
      </c>
      <c r="AA2" s="1" t="s">
        <v>1403</v>
      </c>
      <c r="AB2" s="9"/>
      <c r="AC2" s="1" t="s">
        <v>1404</v>
      </c>
      <c r="AD2" s="1" t="s">
        <v>1405</v>
      </c>
      <c r="AE2" s="1" t="s">
        <v>1406</v>
      </c>
      <c r="AF2" s="11" t="s">
        <v>1407</v>
      </c>
      <c r="AG2" s="1" t="s">
        <v>1398</v>
      </c>
      <c r="AI2" s="11" t="s">
        <v>1408</v>
      </c>
    </row>
    <row r="3" spans="1:36" x14ac:dyDescent="0.25">
      <c r="A3" s="1" t="s">
        <v>61</v>
      </c>
      <c r="B3" s="18" t="s">
        <v>2831</v>
      </c>
      <c r="C3" s="1" t="s">
        <v>2013</v>
      </c>
      <c r="D3" s="1" t="s">
        <v>2012</v>
      </c>
      <c r="E3" s="1" t="s">
        <v>2014</v>
      </c>
      <c r="F3" s="1" t="s">
        <v>4864</v>
      </c>
      <c r="G3" s="1" t="s">
        <v>4874</v>
      </c>
      <c r="H3" s="1" t="s">
        <v>4869</v>
      </c>
      <c r="I3" s="1" t="s">
        <v>4917</v>
      </c>
      <c r="J3" s="1" t="s">
        <v>4896</v>
      </c>
      <c r="K3" s="1" t="s">
        <v>4911</v>
      </c>
      <c r="L3" s="1" t="s">
        <v>1461</v>
      </c>
      <c r="M3" s="1">
        <v>8139869195</v>
      </c>
      <c r="N3" s="11" t="s">
        <v>2015</v>
      </c>
      <c r="O3" s="1">
        <v>8139869195</v>
      </c>
      <c r="P3" s="9"/>
      <c r="Q3" s="1" t="s">
        <v>2014</v>
      </c>
      <c r="R3" s="1" t="s">
        <v>1461</v>
      </c>
      <c r="S3" s="1">
        <v>8139869195</v>
      </c>
      <c r="T3" s="11" t="s">
        <v>2015</v>
      </c>
      <c r="U3" s="1">
        <v>8139869195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2016</v>
      </c>
    </row>
    <row r="4" spans="1:36" x14ac:dyDescent="0.25">
      <c r="A4" s="1" t="s">
        <v>62</v>
      </c>
      <c r="B4" s="18" t="s">
        <v>3991</v>
      </c>
      <c r="C4" s="1" t="s">
        <v>2013</v>
      </c>
      <c r="D4" s="1" t="s">
        <v>2121</v>
      </c>
      <c r="E4" s="1" t="s">
        <v>2122</v>
      </c>
      <c r="F4" s="1" t="s">
        <v>4863</v>
      </c>
      <c r="G4" s="1" t="s">
        <v>4874</v>
      </c>
      <c r="H4" s="1" t="s">
        <v>4869</v>
      </c>
      <c r="I4" s="1" t="s">
        <v>4918</v>
      </c>
      <c r="J4" s="1" t="s">
        <v>4896</v>
      </c>
      <c r="K4" s="1" t="s">
        <v>4911</v>
      </c>
      <c r="L4" s="1" t="s">
        <v>2024</v>
      </c>
      <c r="M4" s="1" t="s">
        <v>1483</v>
      </c>
      <c r="N4" s="1" t="s">
        <v>1483</v>
      </c>
      <c r="O4" s="1" t="s">
        <v>1483</v>
      </c>
      <c r="P4" s="9"/>
      <c r="Q4" s="1" t="s">
        <v>2123</v>
      </c>
      <c r="R4" s="1" t="s">
        <v>2124</v>
      </c>
      <c r="S4">
        <v>8183868216</v>
      </c>
      <c r="T4" s="11" t="s">
        <v>2125</v>
      </c>
      <c r="U4" s="1">
        <v>8115006793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2126</v>
      </c>
    </row>
    <row r="5" spans="1:36" x14ac:dyDescent="0.25">
      <c r="A5" s="1" t="s">
        <v>63</v>
      </c>
      <c r="B5" s="18" t="s">
        <v>3990</v>
      </c>
      <c r="C5" s="1" t="s">
        <v>2128</v>
      </c>
      <c r="D5" s="1" t="s">
        <v>2127</v>
      </c>
      <c r="E5" s="1" t="s">
        <v>2129</v>
      </c>
      <c r="F5" s="1" t="s">
        <v>4865</v>
      </c>
      <c r="G5" s="1" t="s">
        <v>4875</v>
      </c>
      <c r="H5" s="1" t="s">
        <v>4869</v>
      </c>
      <c r="I5" s="1" t="s">
        <v>4918</v>
      </c>
      <c r="J5" s="1" t="s">
        <v>4896</v>
      </c>
      <c r="K5" s="1" t="s">
        <v>4914</v>
      </c>
      <c r="L5" s="1" t="s">
        <v>2130</v>
      </c>
      <c r="M5" s="1">
        <v>8181509100</v>
      </c>
      <c r="N5" s="11" t="s">
        <v>2131</v>
      </c>
      <c r="O5" s="1">
        <v>8115049677</v>
      </c>
      <c r="P5" s="9"/>
      <c r="Q5" s="1" t="s">
        <v>2129</v>
      </c>
      <c r="R5" s="1" t="s">
        <v>2130</v>
      </c>
      <c r="S5" s="1">
        <v>8181509100</v>
      </c>
      <c r="T5" s="11" t="s">
        <v>2131</v>
      </c>
      <c r="U5" s="1">
        <v>8115049677</v>
      </c>
      <c r="V5" s="9"/>
      <c r="W5" s="1" t="s">
        <v>2132</v>
      </c>
      <c r="X5" s="1" t="s">
        <v>2133</v>
      </c>
      <c r="Y5" s="1">
        <v>8181509100</v>
      </c>
      <c r="Z5" s="11" t="s">
        <v>2134</v>
      </c>
      <c r="AA5" s="1">
        <v>8112441953</v>
      </c>
      <c r="AB5" s="9"/>
      <c r="AC5" s="1"/>
      <c r="AD5" s="1"/>
      <c r="AE5" s="1"/>
      <c r="AF5" s="1"/>
      <c r="AG5" s="1"/>
      <c r="AI5" s="11" t="s">
        <v>2135</v>
      </c>
    </row>
    <row r="6" spans="1:36" x14ac:dyDescent="0.25">
      <c r="A6" s="1" t="s">
        <v>64</v>
      </c>
      <c r="B6" s="18" t="s">
        <v>2832</v>
      </c>
      <c r="C6" s="1" t="s">
        <v>2013</v>
      </c>
      <c r="D6" s="1" t="s">
        <v>2237</v>
      </c>
      <c r="E6" s="1" t="s">
        <v>2238</v>
      </c>
      <c r="F6" s="1" t="s">
        <v>4864</v>
      </c>
      <c r="G6" s="1" t="s">
        <v>4873</v>
      </c>
      <c r="H6" s="1" t="s">
        <v>4869</v>
      </c>
      <c r="I6" s="1" t="s">
        <v>4918</v>
      </c>
      <c r="J6" s="1" t="s">
        <v>4896</v>
      </c>
      <c r="K6" s="1" t="s">
        <v>4914</v>
      </c>
      <c r="L6" s="1" t="s">
        <v>1482</v>
      </c>
      <c r="M6" s="1">
        <v>8110802838</v>
      </c>
      <c r="N6" s="11" t="s">
        <v>2239</v>
      </c>
      <c r="O6" s="1">
        <v>8110802838</v>
      </c>
      <c r="P6" s="9"/>
      <c r="Q6" s="1" t="s">
        <v>2238</v>
      </c>
      <c r="R6" s="1" t="s">
        <v>1482</v>
      </c>
      <c r="S6" s="1">
        <v>8110802838</v>
      </c>
      <c r="T6" s="11" t="s">
        <v>2239</v>
      </c>
      <c r="U6" s="1">
        <v>8110802838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2240</v>
      </c>
    </row>
    <row r="7" spans="1:36" x14ac:dyDescent="0.25">
      <c r="A7" s="1" t="s">
        <v>65</v>
      </c>
      <c r="B7" s="18" t="s">
        <v>2833</v>
      </c>
      <c r="C7" s="1" t="s">
        <v>2175</v>
      </c>
      <c r="D7" s="1" t="s">
        <v>2241</v>
      </c>
      <c r="E7" s="1" t="s">
        <v>2242</v>
      </c>
      <c r="F7" s="1" t="s">
        <v>4864</v>
      </c>
      <c r="G7" s="1" t="s">
        <v>4874</v>
      </c>
      <c r="H7" s="1" t="s">
        <v>4869</v>
      </c>
      <c r="I7" s="1" t="s">
        <v>4919</v>
      </c>
      <c r="J7" s="1" t="s">
        <v>4896</v>
      </c>
      <c r="K7" s="1" t="s">
        <v>4911</v>
      </c>
      <c r="L7" s="1" t="s">
        <v>1461</v>
      </c>
      <c r="M7" s="1">
        <v>8135518468</v>
      </c>
      <c r="N7" s="11" t="s">
        <v>2243</v>
      </c>
      <c r="O7" s="1">
        <v>8135518468</v>
      </c>
      <c r="P7" s="9"/>
      <c r="Q7" s="1" t="s">
        <v>2242</v>
      </c>
      <c r="R7" s="1" t="s">
        <v>1461</v>
      </c>
      <c r="S7" s="1">
        <v>8135518468</v>
      </c>
      <c r="T7" s="11" t="s">
        <v>2243</v>
      </c>
      <c r="U7" s="1">
        <v>8135518468</v>
      </c>
      <c r="V7" s="9"/>
      <c r="W7" s="1" t="s">
        <v>2244</v>
      </c>
      <c r="X7" s="1" t="s">
        <v>2245</v>
      </c>
      <c r="Y7" s="1" t="s">
        <v>1483</v>
      </c>
      <c r="Z7" s="11" t="s">
        <v>2246</v>
      </c>
      <c r="AA7" s="1" t="s">
        <v>1483</v>
      </c>
      <c r="AB7" s="9"/>
      <c r="AC7" s="1"/>
      <c r="AD7" s="1"/>
      <c r="AE7" s="1"/>
      <c r="AF7" s="1"/>
      <c r="AG7" s="1"/>
      <c r="AI7" s="11" t="s">
        <v>2247</v>
      </c>
    </row>
    <row r="8" spans="1:36" x14ac:dyDescent="0.25">
      <c r="A8" s="1" t="s">
        <v>66</v>
      </c>
      <c r="B8" s="18" t="s">
        <v>3907</v>
      </c>
      <c r="C8" s="1" t="s">
        <v>3076</v>
      </c>
      <c r="D8" s="1" t="s">
        <v>2939</v>
      </c>
      <c r="E8" s="1" t="s">
        <v>2940</v>
      </c>
      <c r="F8" s="1" t="s">
        <v>4864</v>
      </c>
      <c r="G8" s="1" t="s">
        <v>4874</v>
      </c>
      <c r="H8" s="1" t="s">
        <v>4869</v>
      </c>
      <c r="I8" s="13" t="s">
        <v>4920</v>
      </c>
      <c r="J8" s="1" t="s">
        <v>4896</v>
      </c>
      <c r="K8" s="1" t="s">
        <v>4911</v>
      </c>
      <c r="L8" s="1" t="s">
        <v>1745</v>
      </c>
      <c r="M8" s="1">
        <v>8120020336</v>
      </c>
      <c r="N8" s="11" t="s">
        <v>2941</v>
      </c>
      <c r="O8" s="1">
        <v>8120020336</v>
      </c>
      <c r="P8" s="9"/>
      <c r="Q8" s="1" t="s">
        <v>2940</v>
      </c>
      <c r="R8" s="1" t="s">
        <v>1745</v>
      </c>
      <c r="S8" s="1">
        <v>8120020336</v>
      </c>
      <c r="T8" s="11" t="s">
        <v>2941</v>
      </c>
      <c r="U8" s="1">
        <v>8120020336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2942</v>
      </c>
    </row>
    <row r="9" spans="1:36" x14ac:dyDescent="0.25">
      <c r="A9" s="1" t="s">
        <v>67</v>
      </c>
      <c r="B9" s="18" t="s">
        <v>3906</v>
      </c>
      <c r="C9" s="1" t="s">
        <v>3182</v>
      </c>
      <c r="D9" s="1" t="s">
        <v>3428</v>
      </c>
      <c r="E9" s="1" t="s">
        <v>3429</v>
      </c>
      <c r="F9" s="1" t="s">
        <v>4863</v>
      </c>
      <c r="G9" s="1" t="s">
        <v>4872</v>
      </c>
      <c r="H9" s="1" t="s">
        <v>4869</v>
      </c>
      <c r="I9" s="1" t="s">
        <v>4933</v>
      </c>
      <c r="J9" s="1" t="s">
        <v>4896</v>
      </c>
      <c r="K9" s="1" t="s">
        <v>4911</v>
      </c>
      <c r="L9" s="1" t="s">
        <v>3430</v>
      </c>
      <c r="M9" s="1">
        <v>8181852107</v>
      </c>
      <c r="N9" s="11" t="s">
        <v>3431</v>
      </c>
      <c r="O9" s="1">
        <v>8181852107</v>
      </c>
      <c r="P9" s="9"/>
      <c r="Q9" s="1" t="s">
        <v>3429</v>
      </c>
      <c r="R9" s="1" t="s">
        <v>3430</v>
      </c>
      <c r="S9" s="1">
        <v>8181852107</v>
      </c>
      <c r="T9" s="11" t="s">
        <v>3431</v>
      </c>
      <c r="U9" s="1">
        <v>8181852107</v>
      </c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1" t="s">
        <v>3762</v>
      </c>
    </row>
    <row r="10" spans="1:36" x14ac:dyDescent="0.25">
      <c r="A10" s="1" t="s">
        <v>68</v>
      </c>
      <c r="B10" s="1"/>
      <c r="C10" s="1" t="s">
        <v>3432</v>
      </c>
      <c r="D10" s="1" t="s">
        <v>3433</v>
      </c>
      <c r="E10" s="1" t="s">
        <v>3434</v>
      </c>
      <c r="F10" s="1" t="s">
        <v>4863</v>
      </c>
      <c r="G10" s="1" t="s">
        <v>4872</v>
      </c>
      <c r="H10" s="1" t="s">
        <v>4869</v>
      </c>
      <c r="I10" s="1" t="s">
        <v>5009</v>
      </c>
      <c r="J10" s="1" t="s">
        <v>4896</v>
      </c>
      <c r="K10" s="1" t="s">
        <v>4911</v>
      </c>
      <c r="L10" s="1" t="s">
        <v>3435</v>
      </c>
      <c r="M10" s="1">
        <v>8211112015</v>
      </c>
      <c r="N10" s="11" t="s">
        <v>3436</v>
      </c>
      <c r="O10" s="1">
        <v>8211112015</v>
      </c>
      <c r="P10" s="9"/>
      <c r="Q10" s="1" t="s">
        <v>3434</v>
      </c>
      <c r="R10" s="1" t="s">
        <v>3435</v>
      </c>
      <c r="S10" s="1">
        <v>8211112015</v>
      </c>
      <c r="T10" s="11" t="s">
        <v>3436</v>
      </c>
      <c r="U10" s="1">
        <v>8211112015</v>
      </c>
      <c r="V10" s="9"/>
      <c r="W10" s="1" t="s">
        <v>3437</v>
      </c>
      <c r="X10" s="1" t="s">
        <v>3438</v>
      </c>
      <c r="Y10" s="1">
        <v>8211023727</v>
      </c>
      <c r="Z10" s="11" t="s">
        <v>3439</v>
      </c>
      <c r="AA10" s="1">
        <v>8211023727</v>
      </c>
      <c r="AB10" s="9"/>
      <c r="AC10" s="1"/>
      <c r="AD10" s="1"/>
      <c r="AE10" s="1"/>
      <c r="AF10" s="1"/>
      <c r="AG10" s="1"/>
      <c r="AI10" s="11" t="s">
        <v>3763</v>
      </c>
    </row>
    <row r="11" spans="1:36" x14ac:dyDescent="0.25">
      <c r="A11" s="1" t="s">
        <v>69</v>
      </c>
      <c r="B11" s="18" t="s">
        <v>4021</v>
      </c>
      <c r="C11" s="1" t="s">
        <v>3284</v>
      </c>
      <c r="D11" s="1" t="s">
        <v>3440</v>
      </c>
      <c r="E11" s="1" t="s">
        <v>3441</v>
      </c>
      <c r="F11" s="1" t="s">
        <v>4863</v>
      </c>
      <c r="G11" s="1" t="s">
        <v>4872</v>
      </c>
      <c r="H11" s="1" t="s">
        <v>4869</v>
      </c>
      <c r="I11" s="1" t="s">
        <v>5009</v>
      </c>
      <c r="J11" s="1" t="s">
        <v>4896</v>
      </c>
      <c r="K11" s="1" t="s">
        <v>4911</v>
      </c>
      <c r="L11" s="1" t="s">
        <v>1483</v>
      </c>
      <c r="M11" s="1" t="s">
        <v>1483</v>
      </c>
      <c r="N11" s="1" t="s">
        <v>1483</v>
      </c>
      <c r="O11" s="1" t="s">
        <v>1483</v>
      </c>
      <c r="P11" s="9"/>
      <c r="Q11" s="1" t="s">
        <v>3442</v>
      </c>
      <c r="R11" s="1" t="s">
        <v>2748</v>
      </c>
      <c r="S11" s="1">
        <v>8211187485</v>
      </c>
      <c r="T11" s="11" t="s">
        <v>3443</v>
      </c>
      <c r="U11" s="1">
        <v>8211187485</v>
      </c>
      <c r="V11" s="9"/>
      <c r="W11" s="1" t="s">
        <v>3444</v>
      </c>
      <c r="X11" s="1" t="s">
        <v>3445</v>
      </c>
      <c r="Y11" s="1">
        <v>8211609647</v>
      </c>
      <c r="Z11" s="11" t="s">
        <v>3446</v>
      </c>
      <c r="AA11" s="1">
        <v>8211609647</v>
      </c>
      <c r="AB11" s="9"/>
      <c r="AC11" s="1" t="s">
        <v>3447</v>
      </c>
      <c r="AD11" s="1" t="s">
        <v>1499</v>
      </c>
      <c r="AE11" s="1">
        <v>8211179807</v>
      </c>
      <c r="AF11" s="11" t="s">
        <v>3448</v>
      </c>
      <c r="AG11" s="1">
        <v>8211179807</v>
      </c>
      <c r="AI11" s="11" t="s">
        <v>3764</v>
      </c>
      <c r="AJ11" s="17"/>
    </row>
    <row r="12" spans="1:36" x14ac:dyDescent="0.25">
      <c r="A12" s="1" t="s">
        <v>70</v>
      </c>
      <c r="B12" s="18" t="s">
        <v>4017</v>
      </c>
      <c r="C12" s="1" t="s">
        <v>3688</v>
      </c>
      <c r="D12" s="1" t="s">
        <v>3722</v>
      </c>
      <c r="E12" s="1" t="s">
        <v>3723</v>
      </c>
      <c r="F12" s="1" t="s">
        <v>4865</v>
      </c>
      <c r="G12" s="1" t="s">
        <v>4874</v>
      </c>
      <c r="H12" s="1" t="s">
        <v>4869</v>
      </c>
      <c r="I12" s="1" t="s">
        <v>4920</v>
      </c>
      <c r="J12" s="1" t="s">
        <v>4896</v>
      </c>
      <c r="K12" s="1" t="s">
        <v>4911</v>
      </c>
      <c r="L12" s="1" t="s">
        <v>1453</v>
      </c>
      <c r="M12" s="1" t="s">
        <v>3724</v>
      </c>
      <c r="N12" s="11" t="s">
        <v>3725</v>
      </c>
      <c r="O12" s="1">
        <v>8125637010</v>
      </c>
      <c r="P12" s="9"/>
      <c r="Q12" s="1" t="s">
        <v>3723</v>
      </c>
      <c r="R12" s="1" t="s">
        <v>1453</v>
      </c>
      <c r="S12" s="1" t="s">
        <v>3724</v>
      </c>
      <c r="T12" s="11" t="s">
        <v>3725</v>
      </c>
      <c r="U12" s="1">
        <v>8125637010</v>
      </c>
      <c r="V12" s="9"/>
      <c r="W12" s="1" t="s">
        <v>3726</v>
      </c>
      <c r="X12" s="1" t="s">
        <v>3727</v>
      </c>
      <c r="Y12" s="1" t="s">
        <v>3728</v>
      </c>
      <c r="Z12" s="11" t="s">
        <v>3729</v>
      </c>
      <c r="AA12" s="1">
        <v>8135512262</v>
      </c>
      <c r="AB12" s="9"/>
      <c r="AC12" s="1" t="s">
        <v>3730</v>
      </c>
      <c r="AD12" s="1" t="s">
        <v>3731</v>
      </c>
      <c r="AE12" s="1" t="s">
        <v>3732</v>
      </c>
      <c r="AF12" s="11" t="s">
        <v>3733</v>
      </c>
      <c r="AG12" s="1">
        <v>8117096470</v>
      </c>
      <c r="AI12" s="11" t="s">
        <v>3740</v>
      </c>
    </row>
    <row r="13" spans="1:36" x14ac:dyDescent="0.25">
      <c r="A13" s="1" t="s">
        <v>71</v>
      </c>
      <c r="B13" s="1"/>
      <c r="C13" s="1" t="s">
        <v>3734</v>
      </c>
      <c r="D13" s="1" t="s">
        <v>3741</v>
      </c>
      <c r="E13" s="1" t="s">
        <v>3742</v>
      </c>
      <c r="F13" s="1" t="s">
        <v>4863</v>
      </c>
      <c r="G13" s="1" t="s">
        <v>4873</v>
      </c>
      <c r="H13" s="1" t="s">
        <v>4869</v>
      </c>
      <c r="I13" s="1" t="s">
        <v>4926</v>
      </c>
      <c r="J13" s="1" t="s">
        <v>4896</v>
      </c>
      <c r="K13" s="1" t="s">
        <v>4915</v>
      </c>
      <c r="L13" s="1" t="s">
        <v>1522</v>
      </c>
      <c r="M13" s="1">
        <v>8182549854</v>
      </c>
      <c r="N13" s="11" t="s">
        <v>3743</v>
      </c>
      <c r="O13" s="1">
        <v>8182549854</v>
      </c>
      <c r="P13" s="9"/>
      <c r="Q13" s="1" t="s">
        <v>3742</v>
      </c>
      <c r="R13" s="1" t="s">
        <v>1522</v>
      </c>
      <c r="S13" s="1">
        <v>8182549854</v>
      </c>
      <c r="T13" s="11" t="s">
        <v>3743</v>
      </c>
      <c r="U13" s="1">
        <v>8182549854</v>
      </c>
      <c r="V13" s="9"/>
      <c r="W13" s="1" t="s">
        <v>3744</v>
      </c>
      <c r="X13" s="1" t="s">
        <v>2102</v>
      </c>
      <c r="Y13" s="1">
        <v>8115384174</v>
      </c>
      <c r="Z13" s="11" t="s">
        <v>3745</v>
      </c>
      <c r="AA13" s="1">
        <v>8115384174</v>
      </c>
      <c r="AB13" s="9"/>
      <c r="AC13" s="1"/>
      <c r="AD13" s="1"/>
      <c r="AE13" s="1"/>
      <c r="AF13" s="1"/>
      <c r="AG13" s="1"/>
      <c r="AI13" s="11" t="s">
        <v>3746</v>
      </c>
    </row>
    <row r="14" spans="1:36" x14ac:dyDescent="0.25">
      <c r="A14" s="1" t="s">
        <v>72</v>
      </c>
      <c r="B14" s="18" t="s">
        <v>4478</v>
      </c>
      <c r="C14" s="1" t="s">
        <v>4375</v>
      </c>
      <c r="D14" s="1" t="s">
        <v>4477</v>
      </c>
      <c r="E14" s="1" t="s">
        <v>4479</v>
      </c>
      <c r="F14" s="1" t="s">
        <v>4865</v>
      </c>
      <c r="G14" s="1" t="s">
        <v>4875</v>
      </c>
      <c r="H14" s="1" t="s">
        <v>4869</v>
      </c>
      <c r="I14" s="1" t="s">
        <v>4916</v>
      </c>
      <c r="J14" s="1" t="s">
        <v>4896</v>
      </c>
      <c r="K14" s="1" t="s">
        <v>4928</v>
      </c>
      <c r="L14" s="1" t="s">
        <v>4480</v>
      </c>
      <c r="M14" s="1" t="s">
        <v>4481</v>
      </c>
      <c r="N14" s="11" t="s">
        <v>4482</v>
      </c>
      <c r="O14" s="1">
        <v>3338080425</v>
      </c>
      <c r="P14" s="9"/>
      <c r="Q14" s="1" t="s">
        <v>4479</v>
      </c>
      <c r="R14" s="1" t="s">
        <v>4480</v>
      </c>
      <c r="S14" s="1" t="s">
        <v>4481</v>
      </c>
      <c r="T14" s="11" t="s">
        <v>4482</v>
      </c>
      <c r="U14" s="1">
        <v>3338080425</v>
      </c>
      <c r="V14" s="9"/>
      <c r="W14" s="1" t="s">
        <v>4483</v>
      </c>
      <c r="X14" s="1" t="s">
        <v>4484</v>
      </c>
      <c r="Y14" s="1" t="s">
        <v>4485</v>
      </c>
      <c r="Z14" s="11" t="s">
        <v>4486</v>
      </c>
      <c r="AA14" s="1">
        <v>8110037283</v>
      </c>
      <c r="AB14" s="9"/>
      <c r="AC14" s="1"/>
      <c r="AD14" s="1"/>
      <c r="AE14" s="1"/>
      <c r="AF14" s="1"/>
      <c r="AG14" s="1"/>
      <c r="AI14" s="11" t="s">
        <v>4487</v>
      </c>
    </row>
    <row r="15" spans="1:36" x14ac:dyDescent="0.25">
      <c r="A15" s="1" t="s">
        <v>73</v>
      </c>
      <c r="B15" s="18" t="s">
        <v>4855</v>
      </c>
      <c r="C15" s="1" t="s">
        <v>4375</v>
      </c>
      <c r="D15" s="1" t="s">
        <v>4680</v>
      </c>
      <c r="E15" s="1" t="s">
        <v>4674</v>
      </c>
      <c r="F15" s="1" t="s">
        <v>4864</v>
      </c>
      <c r="G15" s="1" t="s">
        <v>4875</v>
      </c>
      <c r="H15" s="1" t="s">
        <v>4869</v>
      </c>
      <c r="I15" s="1" t="s">
        <v>4921</v>
      </c>
      <c r="J15" s="1" t="s">
        <v>4896</v>
      </c>
      <c r="K15" s="1" t="s">
        <v>4911</v>
      </c>
      <c r="L15" s="1" t="s">
        <v>4675</v>
      </c>
      <c r="M15" s="1">
        <v>8119158486</v>
      </c>
      <c r="N15" s="11" t="s">
        <v>4676</v>
      </c>
      <c r="O15" s="1">
        <v>8119158486</v>
      </c>
      <c r="P15" s="9"/>
      <c r="Q15" s="1" t="s">
        <v>4677</v>
      </c>
      <c r="R15" s="1" t="s">
        <v>4678</v>
      </c>
      <c r="S15" s="1">
        <v>8117328800</v>
      </c>
      <c r="T15" s="11" t="s">
        <v>4679</v>
      </c>
      <c r="U15" s="1">
        <v>8117328800</v>
      </c>
      <c r="V15" s="9"/>
      <c r="W15" s="1" t="s">
        <v>4674</v>
      </c>
      <c r="X15" s="1" t="s">
        <v>4675</v>
      </c>
      <c r="Y15" s="1">
        <v>8119158486</v>
      </c>
      <c r="Z15" s="11" t="s">
        <v>4676</v>
      </c>
      <c r="AA15" s="1">
        <v>8119158486</v>
      </c>
      <c r="AB15" s="9"/>
      <c r="AC15" s="1"/>
      <c r="AD15" s="1"/>
      <c r="AE15" s="1"/>
      <c r="AF15" s="1"/>
      <c r="AG15" s="1"/>
      <c r="AI15" s="11" t="s">
        <v>4681</v>
      </c>
    </row>
    <row r="16" spans="1:36" x14ac:dyDescent="0.25">
      <c r="A16" s="1" t="s">
        <v>74</v>
      </c>
      <c r="B16" s="18" t="s">
        <v>4851</v>
      </c>
      <c r="C16" s="1" t="s">
        <v>4716</v>
      </c>
      <c r="D16" s="1" t="s">
        <v>4850</v>
      </c>
      <c r="E16" s="1" t="s">
        <v>4852</v>
      </c>
      <c r="F16" s="1" t="s">
        <v>4867</v>
      </c>
      <c r="G16" s="1" t="s">
        <v>4875</v>
      </c>
      <c r="H16" s="1" t="s">
        <v>4869</v>
      </c>
      <c r="I16" s="1" t="s">
        <v>4918</v>
      </c>
      <c r="J16" s="1" t="s">
        <v>4896</v>
      </c>
      <c r="K16" s="1" t="s">
        <v>4924</v>
      </c>
      <c r="L16" s="1" t="s">
        <v>1511</v>
      </c>
      <c r="M16" s="1">
        <v>8134037924</v>
      </c>
      <c r="N16" s="11" t="s">
        <v>4853</v>
      </c>
      <c r="O16" s="1">
        <v>8134037924</v>
      </c>
      <c r="P16" s="9"/>
      <c r="Q16" s="1" t="s">
        <v>4852</v>
      </c>
      <c r="R16" s="1" t="s">
        <v>1511</v>
      </c>
      <c r="S16" s="1">
        <v>8134037924</v>
      </c>
      <c r="T16" s="11" t="s">
        <v>4853</v>
      </c>
      <c r="U16" s="1">
        <v>8134037924</v>
      </c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1" t="s">
        <v>4854</v>
      </c>
    </row>
    <row r="17" spans="1:35" x14ac:dyDescent="0.25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SUBTOTAL(103,Tabla5[ARCHIVO])</f>
        <v>15</v>
      </c>
    </row>
  </sheetData>
  <hyperlinks>
    <hyperlink ref="N2" r:id="rId1" xr:uid="{00000000-0004-0000-0200-000000000000}"/>
    <hyperlink ref="T2" r:id="rId2" xr:uid="{00000000-0004-0000-0200-000001000000}"/>
    <hyperlink ref="Z2" r:id="rId3" xr:uid="{00000000-0004-0000-0200-000002000000}"/>
    <hyperlink ref="AF2" r:id="rId4" xr:uid="{00000000-0004-0000-0200-000003000000}"/>
    <hyperlink ref="AI2" r:id="rId5" xr:uid="{00000000-0004-0000-0200-000004000000}"/>
    <hyperlink ref="N3" r:id="rId6" xr:uid="{00000000-0004-0000-0200-000005000000}"/>
    <hyperlink ref="T3" r:id="rId7" xr:uid="{00000000-0004-0000-0200-000006000000}"/>
    <hyperlink ref="AI3" r:id="rId8" xr:uid="{00000000-0004-0000-0200-000007000000}"/>
    <hyperlink ref="T4" r:id="rId9" xr:uid="{00000000-0004-0000-0200-000008000000}"/>
    <hyperlink ref="AI4" r:id="rId10" xr:uid="{00000000-0004-0000-0200-000009000000}"/>
    <hyperlink ref="N5" r:id="rId11" xr:uid="{00000000-0004-0000-0200-00000A000000}"/>
    <hyperlink ref="T5" r:id="rId12" xr:uid="{00000000-0004-0000-0200-00000B000000}"/>
    <hyperlink ref="Z5" r:id="rId13" xr:uid="{00000000-0004-0000-0200-00000C000000}"/>
    <hyperlink ref="AI5" r:id="rId14" xr:uid="{00000000-0004-0000-0200-00000D000000}"/>
    <hyperlink ref="N6" r:id="rId15" xr:uid="{00000000-0004-0000-0200-00000E000000}"/>
    <hyperlink ref="T6" r:id="rId16" xr:uid="{00000000-0004-0000-0200-00000F000000}"/>
    <hyperlink ref="AI6" r:id="rId17" xr:uid="{00000000-0004-0000-0200-000010000000}"/>
    <hyperlink ref="N7" r:id="rId18" xr:uid="{00000000-0004-0000-0200-000011000000}"/>
    <hyperlink ref="T7" r:id="rId19" xr:uid="{00000000-0004-0000-0200-000012000000}"/>
    <hyperlink ref="Z7" r:id="rId20" xr:uid="{00000000-0004-0000-0200-000013000000}"/>
    <hyperlink ref="AI7" r:id="rId21" xr:uid="{00000000-0004-0000-0200-000014000000}"/>
    <hyperlink ref="N8" r:id="rId22" xr:uid="{00000000-0004-0000-0200-000015000000}"/>
    <hyperlink ref="T8" r:id="rId23" xr:uid="{00000000-0004-0000-0200-000016000000}"/>
    <hyperlink ref="AI8" r:id="rId24" xr:uid="{00000000-0004-0000-0200-000017000000}"/>
    <hyperlink ref="T9" r:id="rId25" xr:uid="{00000000-0004-0000-0200-000018000000}"/>
    <hyperlink ref="N10" r:id="rId26" xr:uid="{00000000-0004-0000-0200-000019000000}"/>
    <hyperlink ref="T10" r:id="rId27" xr:uid="{00000000-0004-0000-0200-00001A000000}"/>
    <hyperlink ref="Z10" r:id="rId28" xr:uid="{00000000-0004-0000-0200-00001B000000}"/>
    <hyperlink ref="T11" r:id="rId29" xr:uid="{00000000-0004-0000-0200-00001C000000}"/>
    <hyperlink ref="Z11" r:id="rId30" xr:uid="{00000000-0004-0000-0200-00001D000000}"/>
    <hyperlink ref="AF11" r:id="rId31" xr:uid="{00000000-0004-0000-0200-00001E000000}"/>
    <hyperlink ref="N12" r:id="rId32" xr:uid="{00000000-0004-0000-0200-00001F000000}"/>
    <hyperlink ref="T12" r:id="rId33" xr:uid="{00000000-0004-0000-0200-000020000000}"/>
    <hyperlink ref="Z12" r:id="rId34" xr:uid="{00000000-0004-0000-0200-000021000000}"/>
    <hyperlink ref="AF12" r:id="rId35" xr:uid="{00000000-0004-0000-0200-000022000000}"/>
    <hyperlink ref="AI12" r:id="rId36" xr:uid="{00000000-0004-0000-0200-000023000000}"/>
    <hyperlink ref="N13" r:id="rId37" xr:uid="{00000000-0004-0000-0200-000024000000}"/>
    <hyperlink ref="T13" r:id="rId38" xr:uid="{00000000-0004-0000-0200-000025000000}"/>
    <hyperlink ref="Z13" r:id="rId39" xr:uid="{00000000-0004-0000-0200-000026000000}"/>
    <hyperlink ref="AI13" r:id="rId40" xr:uid="{00000000-0004-0000-0200-000027000000}"/>
    <hyperlink ref="AI9" r:id="rId41" xr:uid="{00000000-0004-0000-0200-000028000000}"/>
    <hyperlink ref="AI10" r:id="rId42" xr:uid="{00000000-0004-0000-0200-000029000000}"/>
    <hyperlink ref="AI11:AJ11" r:id="rId43" display="FIRMAS AUTORIZADAS\B010 BYA  Limpieza y Mantenimiento Industrial.pdf" xr:uid="{00000000-0004-0000-0200-00002A000000}"/>
    <hyperlink ref="N9" r:id="rId44" xr:uid="{00000000-0004-0000-0200-00002B000000}"/>
    <hyperlink ref="N14" r:id="rId45" xr:uid="{00000000-0004-0000-0200-00002C000000}"/>
    <hyperlink ref="T14" r:id="rId46" xr:uid="{00000000-0004-0000-0200-00002D000000}"/>
    <hyperlink ref="Z14" r:id="rId47" xr:uid="{00000000-0004-0000-0200-00002E000000}"/>
    <hyperlink ref="AI14" r:id="rId48" xr:uid="{00000000-0004-0000-0200-00002F000000}"/>
    <hyperlink ref="N15" r:id="rId49" xr:uid="{00000000-0004-0000-0200-000030000000}"/>
    <hyperlink ref="Z15" r:id="rId50" xr:uid="{00000000-0004-0000-0200-000031000000}"/>
    <hyperlink ref="T15" r:id="rId51" xr:uid="{00000000-0004-0000-0200-000032000000}"/>
    <hyperlink ref="AI15" r:id="rId52" xr:uid="{00000000-0004-0000-0200-000033000000}"/>
    <hyperlink ref="N16" r:id="rId53" xr:uid="{00000000-0004-0000-0200-000034000000}"/>
    <hyperlink ref="T16" r:id="rId54" xr:uid="{00000000-0004-0000-0200-000035000000}"/>
    <hyperlink ref="AI16" r:id="rId55" xr:uid="{00000000-0004-0000-0200-000036000000}"/>
  </hyperlinks>
  <pageMargins left="0.7" right="0.7" top="0.75" bottom="0.75" header="0.3" footer="0.3"/>
  <pageSetup paperSize="9" orientation="portrait" r:id="rId56"/>
  <tableParts count="1">
    <tablePart r:id="rId5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0200-000001000000}">
          <x14:formula1>
            <xm:f>DATOS!$B$20:$B$23</xm:f>
          </x14:formula1>
          <xm:sqref>G2:G51</xm:sqref>
        </x14:dataValidation>
        <x14:dataValidation type="list" allowBlank="1" showInputMessage="1" showErrorMessage="1" xr:uid="{00000000-0002-0000-0200-000002000000}">
          <x14:formula1>
            <xm:f>DATOS!$B$13:$B$16</xm:f>
          </x14:formula1>
          <xm:sqref>H2:H51</xm:sqref>
        </x14:dataValidation>
        <x14:dataValidation type="list" allowBlank="1" showInputMessage="1" showErrorMessage="1" xr:uid="{00000000-0002-0000-0200-000003000000}">
          <x14:formula1>
            <xm:f>DATOS!$E$7:$E$38</xm:f>
          </x14:formula1>
          <xm:sqref>J2:J51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3"/>
  <sheetViews>
    <sheetView topLeftCell="AB17" zoomScale="80" zoomScaleNormal="80" workbookViewId="0">
      <selection sqref="A1:AI61"/>
    </sheetView>
  </sheetViews>
  <sheetFormatPr baseColWidth="10" defaultRowHeight="15" x14ac:dyDescent="0.25"/>
  <cols>
    <col min="1" max="1" width="7.28515625" customWidth="1"/>
    <col min="2" max="2" width="16.140625" customWidth="1"/>
    <col min="3" max="3" width="22.42578125" bestFit="1" customWidth="1"/>
    <col min="4" max="4" width="69.42578125" bestFit="1" customWidth="1"/>
    <col min="5" max="5" width="58.42578125" customWidth="1"/>
    <col min="6" max="6" width="28.28515625" customWidth="1"/>
    <col min="7" max="7" width="26" bestFit="1" customWidth="1"/>
    <col min="8" max="8" width="13.5703125" customWidth="1"/>
    <col min="9" max="9" width="17.28515625" customWidth="1"/>
    <col min="10" max="10" width="19.42578125" customWidth="1"/>
    <col min="11" max="11" width="27.42578125" customWidth="1"/>
    <col min="12" max="12" width="58.28515625" customWidth="1"/>
    <col min="13" max="13" width="31.5703125" customWidth="1"/>
    <col min="14" max="14" width="42.85546875" customWidth="1"/>
    <col min="15" max="15" width="12" bestFit="1" customWidth="1"/>
    <col min="16" max="16" width="11.5703125" customWidth="1"/>
    <col min="17" max="17" width="46.140625" customWidth="1"/>
    <col min="18" max="18" width="58" bestFit="1" customWidth="1"/>
    <col min="19" max="19" width="32.7109375" customWidth="1"/>
    <col min="20" max="20" width="39.5703125" customWidth="1"/>
    <col min="21" max="21" width="12.5703125" customWidth="1"/>
    <col min="22" max="22" width="11.5703125" customWidth="1"/>
    <col min="23" max="23" width="47.140625" customWidth="1"/>
    <col min="24" max="24" width="34.85546875" bestFit="1" customWidth="1"/>
    <col min="25" max="25" width="32.7109375" customWidth="1"/>
    <col min="26" max="26" width="39" customWidth="1"/>
    <col min="27" max="27" width="13.5703125" customWidth="1"/>
    <col min="28" max="28" width="12.7109375" customWidth="1"/>
    <col min="29" max="29" width="48.28515625" customWidth="1"/>
    <col min="30" max="30" width="32.28515625" customWidth="1"/>
    <col min="31" max="31" width="33.7109375" customWidth="1"/>
    <col min="32" max="32" width="36" bestFit="1" customWidth="1"/>
    <col min="33" max="33" width="13.5703125" customWidth="1"/>
    <col min="34" max="34" width="12.7109375" customWidth="1"/>
    <col min="35" max="35" width="98.5703125" bestFit="1" customWidth="1"/>
    <col min="36" max="36" width="22" bestFit="1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110</v>
      </c>
      <c r="B2" s="1"/>
      <c r="C2" s="1" t="s">
        <v>1410</v>
      </c>
      <c r="D2" s="1" t="s">
        <v>1409</v>
      </c>
      <c r="E2" s="1" t="s">
        <v>1411</v>
      </c>
      <c r="F2" s="1" t="s">
        <v>4867</v>
      </c>
      <c r="G2" s="1" t="s">
        <v>4875</v>
      </c>
      <c r="H2" s="1" t="s">
        <v>4869</v>
      </c>
      <c r="I2" s="1" t="s">
        <v>5003</v>
      </c>
      <c r="J2" s="1" t="s">
        <v>4896</v>
      </c>
      <c r="K2" s="1" t="s">
        <v>4931</v>
      </c>
      <c r="L2" s="1" t="s">
        <v>1414</v>
      </c>
      <c r="M2" s="1" t="s">
        <v>1398</v>
      </c>
      <c r="N2" s="11" t="s">
        <v>1422</v>
      </c>
      <c r="O2" s="1" t="s">
        <v>1398</v>
      </c>
      <c r="P2" s="9"/>
      <c r="Q2" s="1" t="s">
        <v>1415</v>
      </c>
      <c r="R2" s="1" t="s">
        <v>1412</v>
      </c>
      <c r="S2" s="1">
        <v>8159965010</v>
      </c>
      <c r="T2" s="11" t="s">
        <v>1413</v>
      </c>
      <c r="U2" s="1" t="s">
        <v>1398</v>
      </c>
      <c r="V2" s="9"/>
      <c r="W2" s="1"/>
      <c r="X2" s="1"/>
      <c r="Y2" s="1"/>
      <c r="Z2" s="1"/>
      <c r="AA2" s="1" t="s">
        <v>1785</v>
      </c>
      <c r="AB2" s="9"/>
      <c r="AC2" s="1"/>
      <c r="AD2" s="1"/>
      <c r="AE2" s="1"/>
      <c r="AF2" s="1"/>
      <c r="AG2" s="1"/>
      <c r="AI2" s="11" t="s">
        <v>1416</v>
      </c>
    </row>
    <row r="3" spans="1:35" x14ac:dyDescent="0.25">
      <c r="A3" s="1" t="s">
        <v>111</v>
      </c>
      <c r="B3" s="18" t="s">
        <v>2834</v>
      </c>
      <c r="C3" s="1" t="s">
        <v>1418</v>
      </c>
      <c r="D3" s="1" t="s">
        <v>1417</v>
      </c>
      <c r="E3" s="1" t="s">
        <v>1419</v>
      </c>
      <c r="F3" s="1" t="s">
        <v>4863</v>
      </c>
      <c r="G3" s="1" t="s">
        <v>4872</v>
      </c>
      <c r="H3" s="1" t="s">
        <v>4869</v>
      </c>
      <c r="I3" s="1" t="s">
        <v>5009</v>
      </c>
      <c r="J3" s="1" t="s">
        <v>4896</v>
      </c>
      <c r="K3" s="1" t="s">
        <v>4911</v>
      </c>
      <c r="L3" s="1" t="s">
        <v>1420</v>
      </c>
      <c r="M3" s="1">
        <v>8112429006</v>
      </c>
      <c r="N3" s="11" t="s">
        <v>1421</v>
      </c>
      <c r="O3" s="1">
        <v>8112429006</v>
      </c>
      <c r="P3" s="9"/>
      <c r="Q3" s="1" t="s">
        <v>1419</v>
      </c>
      <c r="R3" s="1" t="s">
        <v>1420</v>
      </c>
      <c r="S3" s="1">
        <v>8112429006</v>
      </c>
      <c r="T3" s="11" t="s">
        <v>1421</v>
      </c>
      <c r="U3" s="1">
        <v>8112429006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1423</v>
      </c>
    </row>
    <row r="4" spans="1:35" x14ac:dyDescent="0.25">
      <c r="A4" s="1" t="s">
        <v>112</v>
      </c>
      <c r="B4" s="1"/>
      <c r="C4" s="1" t="s">
        <v>1425</v>
      </c>
      <c r="D4" s="1" t="s">
        <v>1424</v>
      </c>
      <c r="E4" s="1" t="s">
        <v>1426</v>
      </c>
      <c r="F4" s="1" t="s">
        <v>4865</v>
      </c>
      <c r="G4" s="1" t="s">
        <v>4875</v>
      </c>
      <c r="H4" s="1" t="s">
        <v>4869</v>
      </c>
      <c r="I4" s="1" t="s">
        <v>5010</v>
      </c>
      <c r="J4" s="1" t="s">
        <v>4896</v>
      </c>
      <c r="K4" s="1" t="s">
        <v>4911</v>
      </c>
      <c r="L4" s="1" t="s">
        <v>1427</v>
      </c>
      <c r="M4" s="1">
        <v>5519519807</v>
      </c>
      <c r="N4" s="11" t="s">
        <v>1428</v>
      </c>
      <c r="O4" s="1">
        <v>5519519807</v>
      </c>
      <c r="P4" s="9"/>
      <c r="Q4" s="1" t="s">
        <v>1429</v>
      </c>
      <c r="R4" s="1" t="s">
        <v>1430</v>
      </c>
      <c r="S4" s="1">
        <v>8135558076</v>
      </c>
      <c r="T4" s="11" t="s">
        <v>1431</v>
      </c>
      <c r="U4" s="1">
        <v>8125711283</v>
      </c>
      <c r="V4" s="9"/>
      <c r="W4" s="1" t="s">
        <v>1426</v>
      </c>
      <c r="X4" s="1" t="s">
        <v>1427</v>
      </c>
      <c r="Y4" s="1">
        <v>5519519807</v>
      </c>
      <c r="Z4" s="11" t="s">
        <v>1428</v>
      </c>
      <c r="AA4" s="1">
        <v>5519519807</v>
      </c>
      <c r="AB4" s="9"/>
      <c r="AC4" s="1"/>
      <c r="AD4" s="1"/>
      <c r="AE4" s="1"/>
      <c r="AF4" s="1"/>
      <c r="AG4" s="1"/>
      <c r="AI4" s="11" t="s">
        <v>1432</v>
      </c>
    </row>
    <row r="5" spans="1:35" x14ac:dyDescent="0.25">
      <c r="A5" s="1" t="s">
        <v>113</v>
      </c>
      <c r="B5" s="18" t="s">
        <v>4022</v>
      </c>
      <c r="C5" s="1" t="s">
        <v>1434</v>
      </c>
      <c r="D5" s="1" t="s">
        <v>1433</v>
      </c>
      <c r="E5" s="1" t="s">
        <v>1435</v>
      </c>
      <c r="F5" s="1" t="s">
        <v>4863</v>
      </c>
      <c r="G5" s="1" t="s">
        <v>4873</v>
      </c>
      <c r="H5" s="1" t="s">
        <v>4869</v>
      </c>
      <c r="I5" s="1" t="s">
        <v>4920</v>
      </c>
      <c r="J5" s="1" t="s">
        <v>4896</v>
      </c>
      <c r="K5" s="1" t="s">
        <v>4924</v>
      </c>
      <c r="L5" s="1" t="s">
        <v>1436</v>
      </c>
      <c r="M5" s="1">
        <v>8446762543</v>
      </c>
      <c r="N5" s="11" t="s">
        <v>1437</v>
      </c>
      <c r="O5" s="1">
        <v>8446762543</v>
      </c>
      <c r="P5" s="9"/>
      <c r="Q5" s="1" t="s">
        <v>1435</v>
      </c>
      <c r="R5" s="1" t="s">
        <v>1436</v>
      </c>
      <c r="S5" s="1">
        <v>8446762543</v>
      </c>
      <c r="T5" s="11" t="s">
        <v>1437</v>
      </c>
      <c r="U5" s="1">
        <v>8446762543</v>
      </c>
      <c r="V5" s="9"/>
      <c r="W5" s="1" t="s">
        <v>1438</v>
      </c>
      <c r="X5" s="1" t="s">
        <v>1439</v>
      </c>
      <c r="Y5" s="1" t="s">
        <v>1440</v>
      </c>
      <c r="Z5" s="11" t="s">
        <v>1441</v>
      </c>
      <c r="AA5" s="1">
        <v>8121217570</v>
      </c>
      <c r="AB5" s="9"/>
      <c r="AC5" s="1" t="s">
        <v>1442</v>
      </c>
      <c r="AD5" s="1" t="s">
        <v>1443</v>
      </c>
      <c r="AE5" s="1">
        <v>8128957492</v>
      </c>
      <c r="AF5" s="11" t="s">
        <v>1444</v>
      </c>
      <c r="AG5" s="1">
        <v>8128957492</v>
      </c>
      <c r="AI5" s="11" t="s">
        <v>1783</v>
      </c>
    </row>
    <row r="6" spans="1:35" x14ac:dyDescent="0.25">
      <c r="A6" s="1" t="s">
        <v>114</v>
      </c>
      <c r="B6" s="18" t="s">
        <v>2835</v>
      </c>
      <c r="C6" s="1" t="s">
        <v>1446</v>
      </c>
      <c r="D6" s="1" t="s">
        <v>1445</v>
      </c>
      <c r="E6" s="1" t="s">
        <v>1447</v>
      </c>
      <c r="F6" s="1" t="s">
        <v>4865</v>
      </c>
      <c r="G6" s="1" t="s">
        <v>4875</v>
      </c>
      <c r="H6" s="1" t="s">
        <v>4869</v>
      </c>
      <c r="I6" s="1" t="s">
        <v>4920</v>
      </c>
      <c r="J6" s="1" t="s">
        <v>4896</v>
      </c>
      <c r="K6" s="1" t="s">
        <v>4911</v>
      </c>
      <c r="L6" s="1" t="s">
        <v>1448</v>
      </c>
      <c r="M6" s="1">
        <v>8150007027</v>
      </c>
      <c r="N6" s="11" t="s">
        <v>1449</v>
      </c>
      <c r="O6" s="1">
        <v>8129142342</v>
      </c>
      <c r="P6" s="9"/>
      <c r="Q6" s="1" t="s">
        <v>1447</v>
      </c>
      <c r="R6" s="1" t="s">
        <v>1448</v>
      </c>
      <c r="S6" s="1">
        <v>8150007027</v>
      </c>
      <c r="T6" s="11" t="s">
        <v>1449</v>
      </c>
      <c r="U6" s="1">
        <v>8129142342</v>
      </c>
      <c r="V6" s="9"/>
      <c r="W6" s="1"/>
      <c r="X6" s="1" t="s">
        <v>1905</v>
      </c>
      <c r="Y6" s="1"/>
      <c r="Z6" s="1"/>
      <c r="AA6" s="1"/>
      <c r="AB6" s="9"/>
      <c r="AC6" s="1"/>
      <c r="AD6" s="1"/>
      <c r="AE6" s="1"/>
      <c r="AF6" s="1"/>
      <c r="AG6" s="1"/>
      <c r="AI6" s="11" t="s">
        <v>1784</v>
      </c>
    </row>
    <row r="7" spans="1:35" x14ac:dyDescent="0.25">
      <c r="A7" s="1" t="s">
        <v>115</v>
      </c>
      <c r="B7" s="18" t="s">
        <v>2836</v>
      </c>
      <c r="C7" s="1" t="s">
        <v>1776</v>
      </c>
      <c r="D7" s="1" t="s">
        <v>5178</v>
      </c>
      <c r="E7" s="1" t="s">
        <v>1777</v>
      </c>
      <c r="F7" s="1" t="s">
        <v>4863</v>
      </c>
      <c r="G7" s="1" t="s">
        <v>4873</v>
      </c>
      <c r="H7" s="1" t="s">
        <v>4869</v>
      </c>
      <c r="I7" s="1" t="s">
        <v>4923</v>
      </c>
      <c r="J7" s="1" t="s">
        <v>4896</v>
      </c>
      <c r="K7" s="1" t="s">
        <v>4924</v>
      </c>
      <c r="L7" s="1" t="s">
        <v>1778</v>
      </c>
      <c r="M7" s="1">
        <v>8182806709</v>
      </c>
      <c r="N7" s="11" t="s">
        <v>1779</v>
      </c>
      <c r="O7" s="1">
        <v>8182806709</v>
      </c>
      <c r="P7" s="9"/>
      <c r="Q7" s="1" t="s">
        <v>1777</v>
      </c>
      <c r="R7" s="1" t="s">
        <v>1778</v>
      </c>
      <c r="S7" s="1">
        <v>8182806709</v>
      </c>
      <c r="T7" s="11" t="s">
        <v>1779</v>
      </c>
      <c r="U7" s="1">
        <v>8182806709</v>
      </c>
      <c r="V7" s="9"/>
      <c r="W7" s="1" t="s">
        <v>1780</v>
      </c>
      <c r="X7" s="1" t="s">
        <v>1591</v>
      </c>
      <c r="Y7" s="1">
        <v>8111662626</v>
      </c>
      <c r="Z7" s="11" t="s">
        <v>1781</v>
      </c>
      <c r="AA7" s="1">
        <v>8111662626</v>
      </c>
      <c r="AB7" s="9"/>
      <c r="AC7" s="1"/>
      <c r="AD7" s="1"/>
      <c r="AE7" s="1"/>
      <c r="AF7" s="1"/>
      <c r="AG7" s="1"/>
      <c r="AI7" s="11" t="s">
        <v>1782</v>
      </c>
    </row>
    <row r="8" spans="1:35" x14ac:dyDescent="0.25">
      <c r="A8" s="1" t="s">
        <v>116</v>
      </c>
      <c r="B8" s="18" t="s">
        <v>2823</v>
      </c>
      <c r="C8" s="1" t="s">
        <v>1872</v>
      </c>
      <c r="D8" s="1" t="s">
        <v>1896</v>
      </c>
      <c r="E8" s="1" t="s">
        <v>1897</v>
      </c>
      <c r="F8" s="1" t="s">
        <v>4865</v>
      </c>
      <c r="G8" s="1" t="s">
        <v>4874</v>
      </c>
      <c r="H8" s="1" t="s">
        <v>4869</v>
      </c>
      <c r="I8" s="1" t="s">
        <v>5002</v>
      </c>
      <c r="J8" s="1" t="s">
        <v>4896</v>
      </c>
      <c r="K8" s="1" t="s">
        <v>4928</v>
      </c>
      <c r="L8" s="1" t="s">
        <v>1522</v>
      </c>
      <c r="M8" s="1">
        <v>8121926189</v>
      </c>
      <c r="N8" s="1" t="s">
        <v>1898</v>
      </c>
      <c r="O8" s="1">
        <v>8121926189</v>
      </c>
      <c r="P8" s="9"/>
      <c r="Q8" s="1" t="s">
        <v>1897</v>
      </c>
      <c r="R8" s="1" t="s">
        <v>1522</v>
      </c>
      <c r="S8" s="1">
        <v>8121926189</v>
      </c>
      <c r="T8" s="1" t="s">
        <v>1898</v>
      </c>
      <c r="U8" s="1">
        <v>8121926189</v>
      </c>
      <c r="V8" s="9"/>
      <c r="W8" s="1" t="s">
        <v>1899</v>
      </c>
      <c r="X8" s="1" t="s">
        <v>1900</v>
      </c>
      <c r="Y8" s="1">
        <v>524771110782</v>
      </c>
      <c r="Z8" s="11" t="s">
        <v>1901</v>
      </c>
      <c r="AA8" s="1">
        <v>4771110782</v>
      </c>
      <c r="AB8" s="9"/>
      <c r="AC8" s="1" t="s">
        <v>1902</v>
      </c>
      <c r="AD8" s="1" t="s">
        <v>1903</v>
      </c>
      <c r="AE8" s="1">
        <v>528211469992</v>
      </c>
      <c r="AF8" s="1" t="s">
        <v>1904</v>
      </c>
      <c r="AG8" s="1">
        <v>8211469992</v>
      </c>
      <c r="AI8" s="11" t="s">
        <v>1837</v>
      </c>
    </row>
    <row r="9" spans="1:35" x14ac:dyDescent="0.25">
      <c r="A9" s="1" t="s">
        <v>117</v>
      </c>
      <c r="B9" s="18" t="s">
        <v>2837</v>
      </c>
      <c r="C9" s="1" t="s">
        <v>1827</v>
      </c>
      <c r="D9" s="1" t="s">
        <v>1826</v>
      </c>
      <c r="E9" s="1" t="s">
        <v>1828</v>
      </c>
      <c r="F9" s="1" t="s">
        <v>4865</v>
      </c>
      <c r="G9" s="1" t="s">
        <v>4875</v>
      </c>
      <c r="H9" s="1" t="s">
        <v>4869</v>
      </c>
      <c r="I9" s="1" t="s">
        <v>4922</v>
      </c>
      <c r="J9" s="1" t="s">
        <v>4896</v>
      </c>
      <c r="K9" s="1" t="s">
        <v>4911</v>
      </c>
      <c r="L9" s="1" t="s">
        <v>1831</v>
      </c>
      <c r="M9" s="1">
        <v>8114771460</v>
      </c>
      <c r="N9" s="11" t="s">
        <v>1829</v>
      </c>
      <c r="O9" s="1" t="s">
        <v>1483</v>
      </c>
      <c r="P9" s="9"/>
      <c r="Q9" s="1" t="s">
        <v>1828</v>
      </c>
      <c r="R9" s="1" t="s">
        <v>1831</v>
      </c>
      <c r="S9" s="1">
        <v>8114771460</v>
      </c>
      <c r="T9" s="11" t="s">
        <v>1829</v>
      </c>
      <c r="U9" s="1" t="s">
        <v>1483</v>
      </c>
      <c r="V9" s="9"/>
      <c r="W9" s="1" t="s">
        <v>1830</v>
      </c>
      <c r="X9" s="1" t="s">
        <v>1832</v>
      </c>
      <c r="Y9" s="1">
        <v>8114771463</v>
      </c>
      <c r="Z9" s="11" t="s">
        <v>1833</v>
      </c>
      <c r="AA9" s="1">
        <v>8125625897</v>
      </c>
      <c r="AB9" s="9"/>
      <c r="AC9" s="1" t="s">
        <v>1834</v>
      </c>
      <c r="AD9" s="1" t="s">
        <v>1832</v>
      </c>
      <c r="AE9" s="1">
        <v>8114771463</v>
      </c>
      <c r="AF9" s="11" t="s">
        <v>1835</v>
      </c>
      <c r="AG9" s="1" t="s">
        <v>1483</v>
      </c>
      <c r="AI9" s="11" t="s">
        <v>1836</v>
      </c>
    </row>
    <row r="10" spans="1:35" x14ac:dyDescent="0.25">
      <c r="A10" s="1" t="s">
        <v>118</v>
      </c>
      <c r="B10" s="18" t="s">
        <v>2838</v>
      </c>
      <c r="C10" s="1" t="s">
        <v>1839</v>
      </c>
      <c r="D10" s="1" t="s">
        <v>1838</v>
      </c>
      <c r="E10" s="1" t="s">
        <v>1840</v>
      </c>
      <c r="F10" s="1" t="s">
        <v>4865</v>
      </c>
      <c r="G10" s="1" t="s">
        <v>4873</v>
      </c>
      <c r="H10" s="1" t="s">
        <v>4869</v>
      </c>
      <c r="I10" s="1" t="s">
        <v>5011</v>
      </c>
      <c r="J10" s="1" t="s">
        <v>4896</v>
      </c>
      <c r="K10" s="1" t="s">
        <v>4911</v>
      </c>
      <c r="L10" s="1" t="s">
        <v>1483</v>
      </c>
      <c r="M10" s="1" t="s">
        <v>1483</v>
      </c>
      <c r="N10" s="1" t="s">
        <v>1483</v>
      </c>
      <c r="O10" s="1" t="s">
        <v>1483</v>
      </c>
      <c r="P10" s="9"/>
      <c r="Q10" s="1" t="s">
        <v>1841</v>
      </c>
      <c r="R10" s="1" t="s">
        <v>1482</v>
      </c>
      <c r="S10" s="1">
        <v>8281009049</v>
      </c>
      <c r="T10" s="11" t="s">
        <v>1842</v>
      </c>
      <c r="U10" s="1" t="s">
        <v>1483</v>
      </c>
      <c r="V10" s="9"/>
      <c r="W10" s="1" t="s">
        <v>1843</v>
      </c>
      <c r="X10" s="1" t="s">
        <v>1844</v>
      </c>
      <c r="Y10" s="1">
        <v>8281009049</v>
      </c>
      <c r="Z10" s="11" t="s">
        <v>1845</v>
      </c>
      <c r="AA10" s="1" t="s">
        <v>1483</v>
      </c>
      <c r="AB10" s="9"/>
      <c r="AC10" s="1"/>
      <c r="AD10" s="1"/>
      <c r="AE10" s="1"/>
      <c r="AF10" s="1"/>
      <c r="AG10" s="1"/>
      <c r="AI10" s="11" t="s">
        <v>1846</v>
      </c>
    </row>
    <row r="11" spans="1:35" x14ac:dyDescent="0.25">
      <c r="A11" s="1" t="s">
        <v>119</v>
      </c>
      <c r="B11" s="18" t="s">
        <v>2839</v>
      </c>
      <c r="C11" s="1" t="s">
        <v>1848</v>
      </c>
      <c r="D11" s="1" t="s">
        <v>1847</v>
      </c>
      <c r="E11" s="1" t="s">
        <v>1849</v>
      </c>
      <c r="F11" s="1" t="s">
        <v>4864</v>
      </c>
      <c r="G11" s="1" t="s">
        <v>4875</v>
      </c>
      <c r="H11" s="1" t="s">
        <v>4869</v>
      </c>
      <c r="I11" s="1" t="s">
        <v>4923</v>
      </c>
      <c r="J11" s="1" t="s">
        <v>4896</v>
      </c>
      <c r="K11" s="1" t="s">
        <v>4924</v>
      </c>
      <c r="L11" s="1" t="s">
        <v>1850</v>
      </c>
      <c r="M11" s="1" t="s">
        <v>1851</v>
      </c>
      <c r="N11" s="11" t="s">
        <v>1852</v>
      </c>
      <c r="O11" s="1">
        <v>8183622634</v>
      </c>
      <c r="P11" s="9"/>
      <c r="Q11" s="1" t="s">
        <v>1853</v>
      </c>
      <c r="R11" s="1" t="s">
        <v>1745</v>
      </c>
      <c r="S11" s="1" t="s">
        <v>1854</v>
      </c>
      <c r="T11" s="11" t="s">
        <v>1855</v>
      </c>
      <c r="U11" s="1" t="s">
        <v>1483</v>
      </c>
      <c r="V11" s="9"/>
      <c r="W11" s="1" t="s">
        <v>1849</v>
      </c>
      <c r="X11" s="1" t="s">
        <v>1850</v>
      </c>
      <c r="Y11" s="1" t="s">
        <v>1851</v>
      </c>
      <c r="Z11" s="11" t="s">
        <v>1852</v>
      </c>
      <c r="AA11" s="1">
        <v>8183622634</v>
      </c>
      <c r="AB11" s="9"/>
      <c r="AC11" s="1"/>
      <c r="AD11" s="1"/>
      <c r="AE11" s="1"/>
      <c r="AF11" s="1"/>
      <c r="AG11" s="1"/>
      <c r="AI11" s="11" t="s">
        <v>1856</v>
      </c>
    </row>
    <row r="12" spans="1:35" x14ac:dyDescent="0.25">
      <c r="A12" s="1" t="s">
        <v>120</v>
      </c>
      <c r="B12" s="18" t="s">
        <v>2840</v>
      </c>
      <c r="C12" s="1" t="s">
        <v>2013</v>
      </c>
      <c r="D12" s="1" t="s">
        <v>2100</v>
      </c>
      <c r="E12" s="1" t="s">
        <v>2101</v>
      </c>
      <c r="F12" s="1" t="s">
        <v>4863</v>
      </c>
      <c r="G12" s="1" t="s">
        <v>4873</v>
      </c>
      <c r="H12" s="1" t="s">
        <v>4868</v>
      </c>
      <c r="I12" s="1" t="s">
        <v>4925</v>
      </c>
      <c r="J12" s="1" t="s">
        <v>4896</v>
      </c>
      <c r="K12" s="1" t="s">
        <v>4913</v>
      </c>
      <c r="L12" s="1" t="s">
        <v>2102</v>
      </c>
      <c r="M12" s="1">
        <v>8180990448</v>
      </c>
      <c r="N12" s="11" t="s">
        <v>2103</v>
      </c>
      <c r="O12" s="1">
        <v>8180990448</v>
      </c>
      <c r="P12" s="9"/>
      <c r="Q12" s="1" t="s">
        <v>2101</v>
      </c>
      <c r="R12" s="1" t="s">
        <v>2102</v>
      </c>
      <c r="S12" s="1">
        <v>8180990448</v>
      </c>
      <c r="T12" s="11" t="s">
        <v>2103</v>
      </c>
      <c r="U12" s="1">
        <v>8180990448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2104</v>
      </c>
    </row>
    <row r="13" spans="1:35" x14ac:dyDescent="0.25">
      <c r="A13" s="1" t="s">
        <v>121</v>
      </c>
      <c r="B13" s="18" t="s">
        <v>2841</v>
      </c>
      <c r="C13" s="1" t="s">
        <v>2137</v>
      </c>
      <c r="D13" s="1" t="s">
        <v>2136</v>
      </c>
      <c r="E13" s="1" t="s">
        <v>2138</v>
      </c>
      <c r="F13" s="1" t="s">
        <v>4863</v>
      </c>
      <c r="G13" s="1" t="s">
        <v>4875</v>
      </c>
      <c r="H13" s="1" t="s">
        <v>4869</v>
      </c>
      <c r="I13" s="1" t="s">
        <v>4921</v>
      </c>
      <c r="J13" s="1" t="s">
        <v>4896</v>
      </c>
      <c r="K13" s="1" t="s">
        <v>4911</v>
      </c>
      <c r="L13" s="1" t="s">
        <v>1483</v>
      </c>
      <c r="M13" s="1" t="s">
        <v>1483</v>
      </c>
      <c r="N13" s="1" t="s">
        <v>1483</v>
      </c>
      <c r="O13" s="1" t="s">
        <v>1483</v>
      </c>
      <c r="P13" s="9"/>
      <c r="Q13" s="1" t="s">
        <v>2139</v>
      </c>
      <c r="R13" s="1" t="s">
        <v>2140</v>
      </c>
      <c r="S13" s="1">
        <v>8121336080</v>
      </c>
      <c r="T13" s="11" t="s">
        <v>2141</v>
      </c>
      <c r="U13" s="1">
        <v>8116577985</v>
      </c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1" t="s">
        <v>2155</v>
      </c>
    </row>
    <row r="14" spans="1:35" x14ac:dyDescent="0.25">
      <c r="A14" s="1" t="s">
        <v>122</v>
      </c>
      <c r="B14" s="18" t="s">
        <v>2842</v>
      </c>
      <c r="C14" s="1" t="s">
        <v>2137</v>
      </c>
      <c r="D14" s="1" t="s">
        <v>2142</v>
      </c>
      <c r="E14" s="1" t="s">
        <v>2143</v>
      </c>
      <c r="F14" s="1" t="s">
        <v>4863</v>
      </c>
      <c r="G14" s="1" t="s">
        <v>4875</v>
      </c>
      <c r="H14" s="1" t="s">
        <v>4869</v>
      </c>
      <c r="I14" s="1" t="s">
        <v>4917</v>
      </c>
      <c r="J14" s="1" t="s">
        <v>4896</v>
      </c>
      <c r="K14" s="1" t="s">
        <v>4911</v>
      </c>
      <c r="L14" s="1" t="s">
        <v>1427</v>
      </c>
      <c r="M14" s="1" t="s">
        <v>2144</v>
      </c>
      <c r="N14" s="11" t="s">
        <v>2145</v>
      </c>
      <c r="O14" s="1">
        <v>8111062092</v>
      </c>
      <c r="P14" s="9"/>
      <c r="Q14" s="1" t="s">
        <v>2143</v>
      </c>
      <c r="R14" s="1" t="s">
        <v>1427</v>
      </c>
      <c r="S14" s="1" t="s">
        <v>2144</v>
      </c>
      <c r="T14" s="11" t="s">
        <v>2145</v>
      </c>
      <c r="U14" s="1">
        <v>8111062092</v>
      </c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1" t="s">
        <v>2156</v>
      </c>
    </row>
    <row r="15" spans="1:35" x14ac:dyDescent="0.25">
      <c r="A15" s="1" t="s">
        <v>123</v>
      </c>
      <c r="B15" s="18" t="s">
        <v>4016</v>
      </c>
      <c r="C15" s="1" t="s">
        <v>2137</v>
      </c>
      <c r="D15" s="1" t="s">
        <v>2146</v>
      </c>
      <c r="E15" s="1" t="s">
        <v>2147</v>
      </c>
      <c r="F15" s="1" t="s">
        <v>4863</v>
      </c>
      <c r="G15" s="1" t="s">
        <v>4873</v>
      </c>
      <c r="H15" s="1" t="s">
        <v>4869</v>
      </c>
      <c r="I15" s="1" t="s">
        <v>4920</v>
      </c>
      <c r="J15" s="1" t="s">
        <v>4896</v>
      </c>
      <c r="K15" s="1" t="s">
        <v>4914</v>
      </c>
      <c r="L15" s="1" t="s">
        <v>1468</v>
      </c>
      <c r="M15" s="1" t="s">
        <v>2148</v>
      </c>
      <c r="N15" s="11" t="s">
        <v>2149</v>
      </c>
      <c r="O15" s="1">
        <v>8123967291</v>
      </c>
      <c r="P15" s="9"/>
      <c r="Q15" s="1" t="s">
        <v>2147</v>
      </c>
      <c r="R15" s="1" t="s">
        <v>1468</v>
      </c>
      <c r="S15" s="1" t="s">
        <v>2148</v>
      </c>
      <c r="T15" s="11" t="s">
        <v>2149</v>
      </c>
      <c r="U15" s="1">
        <v>8123967291</v>
      </c>
      <c r="V15" s="9"/>
      <c r="W15" s="1" t="s">
        <v>2150</v>
      </c>
      <c r="X15" s="1" t="s">
        <v>2151</v>
      </c>
      <c r="Y15" s="1" t="s">
        <v>2152</v>
      </c>
      <c r="Z15" s="11" t="s">
        <v>2153</v>
      </c>
      <c r="AA15" s="1">
        <v>8129194377</v>
      </c>
      <c r="AB15" s="9"/>
      <c r="AC15" s="1"/>
      <c r="AD15" s="1"/>
      <c r="AE15" s="1"/>
      <c r="AF15" s="1"/>
      <c r="AG15" s="1"/>
      <c r="AI15" s="11" t="s">
        <v>2154</v>
      </c>
    </row>
    <row r="16" spans="1:35" x14ac:dyDescent="0.25">
      <c r="A16" s="1" t="s">
        <v>124</v>
      </c>
      <c r="B16" s="1"/>
      <c r="C16" s="1" t="s">
        <v>2013</v>
      </c>
      <c r="D16" s="1" t="s">
        <v>2157</v>
      </c>
      <c r="E16" s="1" t="s">
        <v>2158</v>
      </c>
      <c r="F16" s="1" t="s">
        <v>4863</v>
      </c>
      <c r="G16" s="1" t="s">
        <v>4872</v>
      </c>
      <c r="H16" s="1" t="s">
        <v>4869</v>
      </c>
      <c r="I16" s="1" t="s">
        <v>5009</v>
      </c>
      <c r="J16" s="1" t="s">
        <v>4896</v>
      </c>
      <c r="K16" s="1" t="s">
        <v>4911</v>
      </c>
      <c r="L16" s="1" t="s">
        <v>1494</v>
      </c>
      <c r="M16" s="1">
        <v>8241025458</v>
      </c>
      <c r="N16" s="11" t="s">
        <v>2159</v>
      </c>
      <c r="O16" s="1">
        <v>8241025458</v>
      </c>
      <c r="P16" s="9"/>
      <c r="Q16" s="1" t="s">
        <v>2158</v>
      </c>
      <c r="R16" s="1" t="s">
        <v>1494</v>
      </c>
      <c r="S16" s="1">
        <v>8241025458</v>
      </c>
      <c r="T16" s="11" t="s">
        <v>2159</v>
      </c>
      <c r="U16" s="1">
        <v>8241025458</v>
      </c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1" t="s">
        <v>2160</v>
      </c>
    </row>
    <row r="17" spans="1:36" x14ac:dyDescent="0.25">
      <c r="A17" s="1" t="s">
        <v>125</v>
      </c>
      <c r="B17" s="18" t="s">
        <v>2843</v>
      </c>
      <c r="C17" s="1" t="s">
        <v>2162</v>
      </c>
      <c r="D17" s="1" t="s">
        <v>2161</v>
      </c>
      <c r="E17" s="1" t="s">
        <v>2163</v>
      </c>
      <c r="F17" s="1" t="s">
        <v>4865</v>
      </c>
      <c r="G17" s="1" t="s">
        <v>4874</v>
      </c>
      <c r="H17" s="1" t="s">
        <v>4869</v>
      </c>
      <c r="I17" s="1" t="s">
        <v>4923</v>
      </c>
      <c r="J17" s="1" t="s">
        <v>4896</v>
      </c>
      <c r="K17" s="1" t="s">
        <v>4924</v>
      </c>
      <c r="L17" s="1" t="s">
        <v>2164</v>
      </c>
      <c r="M17" s="1">
        <v>8111250194</v>
      </c>
      <c r="N17" s="11" t="s">
        <v>2165</v>
      </c>
      <c r="O17" s="1">
        <v>8111250194</v>
      </c>
      <c r="P17" s="9"/>
      <c r="Q17" s="1" t="s">
        <v>2166</v>
      </c>
      <c r="R17" s="1" t="s">
        <v>2167</v>
      </c>
      <c r="S17" s="1">
        <v>8111308449</v>
      </c>
      <c r="T17" s="11" t="s">
        <v>2168</v>
      </c>
      <c r="U17" s="1">
        <v>8111308449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2169</v>
      </c>
    </row>
    <row r="18" spans="1:36" x14ac:dyDescent="0.25">
      <c r="A18" s="1" t="s">
        <v>126</v>
      </c>
      <c r="B18" s="18" t="s">
        <v>2844</v>
      </c>
      <c r="C18" s="1" t="s">
        <v>2171</v>
      </c>
      <c r="D18" s="1" t="s">
        <v>2170</v>
      </c>
      <c r="E18" s="1" t="s">
        <v>2172</v>
      </c>
      <c r="F18" s="1" t="s">
        <v>4863</v>
      </c>
      <c r="G18" s="1" t="s">
        <v>4873</v>
      </c>
      <c r="H18" s="1" t="s">
        <v>4869</v>
      </c>
      <c r="I18" s="1" t="s">
        <v>4926</v>
      </c>
      <c r="J18" s="1" t="s">
        <v>4896</v>
      </c>
      <c r="K18" s="1" t="s">
        <v>4911</v>
      </c>
      <c r="L18" s="1" t="s">
        <v>2000</v>
      </c>
      <c r="M18" s="1">
        <v>8183424042</v>
      </c>
      <c r="N18" s="11" t="s">
        <v>2173</v>
      </c>
      <c r="O18" s="1">
        <v>8182876064</v>
      </c>
      <c r="P18" s="9"/>
      <c r="Q18" s="1" t="s">
        <v>2172</v>
      </c>
      <c r="R18" s="1" t="s">
        <v>2000</v>
      </c>
      <c r="S18" s="1">
        <v>8183424042</v>
      </c>
      <c r="T18" s="11" t="s">
        <v>2173</v>
      </c>
      <c r="U18" s="1">
        <v>8182876064</v>
      </c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1" t="s">
        <v>2174</v>
      </c>
    </row>
    <row r="19" spans="1:36" x14ac:dyDescent="0.25">
      <c r="A19" s="1" t="s">
        <v>127</v>
      </c>
      <c r="B19" s="18" t="s">
        <v>3915</v>
      </c>
      <c r="C19" s="1" t="s">
        <v>2137</v>
      </c>
      <c r="D19" s="31" t="s">
        <v>2772</v>
      </c>
      <c r="E19" s="1" t="s">
        <v>2248</v>
      </c>
      <c r="F19" s="1" t="s">
        <v>4863</v>
      </c>
      <c r="G19" s="1" t="s">
        <v>4875</v>
      </c>
      <c r="H19" s="1" t="s">
        <v>4869</v>
      </c>
      <c r="I19" s="1" t="s">
        <v>4918</v>
      </c>
      <c r="J19" s="1" t="s">
        <v>4896</v>
      </c>
      <c r="K19" s="1" t="s">
        <v>4911</v>
      </c>
      <c r="L19" s="1" t="s">
        <v>2249</v>
      </c>
      <c r="M19" s="1">
        <v>8110807259</v>
      </c>
      <c r="N19" s="11" t="s">
        <v>2250</v>
      </c>
      <c r="O19" s="1">
        <v>8110807259</v>
      </c>
      <c r="P19" s="9"/>
      <c r="Q19" s="1" t="s">
        <v>2251</v>
      </c>
      <c r="R19" s="1" t="s">
        <v>2252</v>
      </c>
      <c r="S19" s="1">
        <v>8115086458</v>
      </c>
      <c r="T19" s="11" t="s">
        <v>2253</v>
      </c>
      <c r="U19" s="1">
        <v>8115086458</v>
      </c>
      <c r="V19" s="9"/>
      <c r="W19" s="1" t="s">
        <v>2248</v>
      </c>
      <c r="X19" s="1" t="s">
        <v>2249</v>
      </c>
      <c r="Y19" s="1">
        <v>8110807259</v>
      </c>
      <c r="Z19" s="11" t="s">
        <v>2250</v>
      </c>
      <c r="AA19" s="1">
        <v>8110807259</v>
      </c>
      <c r="AB19" s="9"/>
      <c r="AC19" s="1" t="s">
        <v>2254</v>
      </c>
      <c r="AD19" s="1" t="s">
        <v>2255</v>
      </c>
      <c r="AE19" s="1">
        <v>8134047633</v>
      </c>
      <c r="AF19" s="11" t="s">
        <v>2256</v>
      </c>
      <c r="AG19" s="1">
        <v>8134047633</v>
      </c>
      <c r="AI19" s="11" t="s">
        <v>2257</v>
      </c>
    </row>
    <row r="20" spans="1:36" x14ac:dyDescent="0.25">
      <c r="A20" s="1" t="s">
        <v>128</v>
      </c>
      <c r="B20" s="1"/>
      <c r="C20" s="1" t="s">
        <v>2259</v>
      </c>
      <c r="D20" s="1" t="s">
        <v>2258</v>
      </c>
      <c r="E20" s="1" t="s">
        <v>2260</v>
      </c>
      <c r="F20" s="1" t="s">
        <v>4863</v>
      </c>
      <c r="G20" s="1" t="s">
        <v>4874</v>
      </c>
      <c r="H20" s="1" t="s">
        <v>4871</v>
      </c>
      <c r="I20" s="1" t="s">
        <v>5012</v>
      </c>
      <c r="J20" s="1" t="s">
        <v>4896</v>
      </c>
      <c r="K20" s="1" t="s">
        <v>4946</v>
      </c>
      <c r="L20" s="1" t="s">
        <v>2062</v>
      </c>
      <c r="M20" s="1">
        <v>8183294000</v>
      </c>
      <c r="N20" s="11" t="s">
        <v>2261</v>
      </c>
      <c r="O20" s="1">
        <v>8127584673</v>
      </c>
      <c r="P20" s="9"/>
      <c r="Q20" s="1" t="s">
        <v>2260</v>
      </c>
      <c r="R20" s="1" t="s">
        <v>2062</v>
      </c>
      <c r="S20" s="1">
        <v>8183294000</v>
      </c>
      <c r="T20" s="11" t="s">
        <v>2261</v>
      </c>
      <c r="U20" s="1">
        <v>8127584673</v>
      </c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1" t="s">
        <v>2262</v>
      </c>
    </row>
    <row r="21" spans="1:36" x14ac:dyDescent="0.25">
      <c r="A21" s="1" t="s">
        <v>129</v>
      </c>
      <c r="B21" s="18" t="s">
        <v>4023</v>
      </c>
      <c r="C21" s="1" t="s">
        <v>2264</v>
      </c>
      <c r="D21" s="1" t="s">
        <v>2263</v>
      </c>
      <c r="E21" s="1" t="s">
        <v>2265</v>
      </c>
      <c r="F21" s="1" t="s">
        <v>4865</v>
      </c>
      <c r="G21" s="1" t="s">
        <v>4875</v>
      </c>
      <c r="H21" s="1" t="s">
        <v>4869</v>
      </c>
      <c r="I21" s="1" t="s">
        <v>5003</v>
      </c>
      <c r="J21" s="1" t="s">
        <v>4896</v>
      </c>
      <c r="K21" s="1" t="s">
        <v>4911</v>
      </c>
      <c r="L21" s="1" t="s">
        <v>2266</v>
      </c>
      <c r="M21" s="1">
        <v>8120933415</v>
      </c>
      <c r="N21" s="11" t="s">
        <v>2267</v>
      </c>
      <c r="O21" s="1">
        <v>8120933415</v>
      </c>
      <c r="P21" s="9"/>
      <c r="Q21" s="1" t="s">
        <v>2265</v>
      </c>
      <c r="R21" s="1" t="s">
        <v>2266</v>
      </c>
      <c r="S21" s="1">
        <v>8120933415</v>
      </c>
      <c r="T21" s="11" t="s">
        <v>2267</v>
      </c>
      <c r="U21" s="1">
        <v>8120933415</v>
      </c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1" t="s">
        <v>2268</v>
      </c>
    </row>
    <row r="22" spans="1:36" x14ac:dyDescent="0.25">
      <c r="A22" s="1" t="s">
        <v>130</v>
      </c>
      <c r="B22" s="1"/>
      <c r="C22" s="1" t="s">
        <v>2259</v>
      </c>
      <c r="D22" s="1" t="s">
        <v>2269</v>
      </c>
      <c r="E22" s="1" t="s">
        <v>2270</v>
      </c>
      <c r="F22" s="1" t="s">
        <v>4863</v>
      </c>
      <c r="G22" s="1" t="s">
        <v>4873</v>
      </c>
      <c r="H22" s="1" t="s">
        <v>4869</v>
      </c>
      <c r="I22" s="1" t="s">
        <v>4949</v>
      </c>
      <c r="J22" s="1" t="s">
        <v>4896</v>
      </c>
      <c r="K22" s="1" t="s">
        <v>4924</v>
      </c>
      <c r="L22" s="1" t="s">
        <v>2271</v>
      </c>
      <c r="M22" s="1">
        <v>8137362990</v>
      </c>
      <c r="N22" s="11" t="s">
        <v>2272</v>
      </c>
      <c r="O22" s="1">
        <v>8137362990</v>
      </c>
      <c r="P22" s="9"/>
      <c r="Q22" s="1" t="s">
        <v>2273</v>
      </c>
      <c r="R22" s="1" t="s">
        <v>2274</v>
      </c>
      <c r="S22" s="1">
        <v>8135749536</v>
      </c>
      <c r="T22" s="11" t="s">
        <v>2275</v>
      </c>
      <c r="U22" s="1">
        <v>8135749536</v>
      </c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1" t="s">
        <v>2276</v>
      </c>
    </row>
    <row r="23" spans="1:36" x14ac:dyDescent="0.25">
      <c r="A23" s="1" t="s">
        <v>131</v>
      </c>
      <c r="B23" s="18" t="s">
        <v>2845</v>
      </c>
      <c r="C23" s="1" t="s">
        <v>2137</v>
      </c>
      <c r="D23" s="1" t="s">
        <v>2277</v>
      </c>
      <c r="E23" s="1" t="s">
        <v>2278</v>
      </c>
      <c r="F23" s="1" t="s">
        <v>4864</v>
      </c>
      <c r="G23" s="1" t="s">
        <v>4873</v>
      </c>
      <c r="H23" s="1" t="s">
        <v>4869</v>
      </c>
      <c r="I23" s="1" t="s">
        <v>4927</v>
      </c>
      <c r="J23" s="1" t="s">
        <v>4896</v>
      </c>
      <c r="K23" s="1" t="s">
        <v>4928</v>
      </c>
      <c r="L23" s="1" t="s">
        <v>2279</v>
      </c>
      <c r="M23" s="1" t="s">
        <v>1483</v>
      </c>
      <c r="N23" s="11" t="s">
        <v>2280</v>
      </c>
      <c r="O23" s="1" t="s">
        <v>1483</v>
      </c>
      <c r="P23" s="9"/>
      <c r="Q23" s="1" t="s">
        <v>2278</v>
      </c>
      <c r="R23" s="1" t="s">
        <v>2279</v>
      </c>
      <c r="S23" s="1" t="s">
        <v>1483</v>
      </c>
      <c r="T23" s="11" t="s">
        <v>2280</v>
      </c>
      <c r="U23" s="1" t="s">
        <v>1483</v>
      </c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1" t="s">
        <v>2281</v>
      </c>
    </row>
    <row r="24" spans="1:36" x14ac:dyDescent="0.25">
      <c r="A24" s="1" t="s">
        <v>132</v>
      </c>
      <c r="B24" s="1"/>
      <c r="C24" s="1" t="s">
        <v>2162</v>
      </c>
      <c r="D24" s="1" t="s">
        <v>2354</v>
      </c>
      <c r="E24" s="1" t="s">
        <v>2355</v>
      </c>
      <c r="F24" s="1" t="s">
        <v>4863</v>
      </c>
      <c r="G24" s="1" t="s">
        <v>4874</v>
      </c>
      <c r="H24" s="1" t="s">
        <v>4871</v>
      </c>
      <c r="I24" s="1" t="s">
        <v>4948</v>
      </c>
      <c r="J24" s="1" t="s">
        <v>4896</v>
      </c>
      <c r="K24" s="1" t="s">
        <v>4943</v>
      </c>
      <c r="L24" s="1" t="s">
        <v>1383</v>
      </c>
      <c r="M24" s="1" t="s">
        <v>1483</v>
      </c>
      <c r="N24" s="1" t="s">
        <v>1483</v>
      </c>
      <c r="O24" s="1" t="s">
        <v>1483</v>
      </c>
      <c r="P24" s="9"/>
      <c r="Q24" s="1" t="s">
        <v>2356</v>
      </c>
      <c r="R24" s="1" t="s">
        <v>2357</v>
      </c>
      <c r="S24" s="1" t="s">
        <v>2358</v>
      </c>
      <c r="T24" s="11" t="s">
        <v>2359</v>
      </c>
      <c r="U24" s="1" t="s">
        <v>1483</v>
      </c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1" t="s">
        <v>2360</v>
      </c>
    </row>
    <row r="25" spans="1:36" x14ac:dyDescent="0.25">
      <c r="A25" s="1" t="s">
        <v>133</v>
      </c>
      <c r="B25" s="18" t="s">
        <v>2846</v>
      </c>
      <c r="C25" s="1" t="s">
        <v>2259</v>
      </c>
      <c r="D25" s="1" t="s">
        <v>2361</v>
      </c>
      <c r="E25" s="1" t="s">
        <v>2362</v>
      </c>
      <c r="F25" s="1" t="s">
        <v>4864</v>
      </c>
      <c r="G25" s="1" t="s">
        <v>4875</v>
      </c>
      <c r="H25" s="1" t="s">
        <v>4869</v>
      </c>
      <c r="I25" s="1" t="s">
        <v>4919</v>
      </c>
      <c r="J25" s="1" t="s">
        <v>4884</v>
      </c>
      <c r="K25" s="44" t="s">
        <v>4929</v>
      </c>
      <c r="L25" s="1" t="s">
        <v>2363</v>
      </c>
      <c r="M25" s="1">
        <v>8120361646</v>
      </c>
      <c r="N25" s="11" t="s">
        <v>2364</v>
      </c>
      <c r="O25" s="1">
        <v>8120361646</v>
      </c>
      <c r="P25" s="9"/>
      <c r="Q25" s="1" t="s">
        <v>2362</v>
      </c>
      <c r="R25" s="1" t="s">
        <v>2363</v>
      </c>
      <c r="S25" s="1">
        <v>8120361646</v>
      </c>
      <c r="T25" s="11" t="s">
        <v>2364</v>
      </c>
      <c r="U25" s="1">
        <v>8120361646</v>
      </c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1" t="s">
        <v>2365</v>
      </c>
    </row>
    <row r="26" spans="1:36" x14ac:dyDescent="0.25">
      <c r="A26" s="1" t="s">
        <v>134</v>
      </c>
      <c r="B26" s="18" t="s">
        <v>2847</v>
      </c>
      <c r="C26" s="1" t="s">
        <v>1483</v>
      </c>
      <c r="D26" s="1" t="s">
        <v>2366</v>
      </c>
      <c r="E26" s="1" t="s">
        <v>2367</v>
      </c>
      <c r="F26" s="1" t="s">
        <v>4865</v>
      </c>
      <c r="G26" s="1" t="s">
        <v>4875</v>
      </c>
      <c r="H26" s="1" t="s">
        <v>4869</v>
      </c>
      <c r="I26" s="1" t="s">
        <v>4925</v>
      </c>
      <c r="J26" s="1" t="s">
        <v>4896</v>
      </c>
      <c r="K26" s="1" t="s">
        <v>4911</v>
      </c>
      <c r="L26" s="1" t="s">
        <v>2368</v>
      </c>
      <c r="M26" s="1">
        <v>8113014645</v>
      </c>
      <c r="N26" s="11" t="s">
        <v>2369</v>
      </c>
      <c r="O26" s="1">
        <v>8113014645</v>
      </c>
      <c r="P26" s="9"/>
      <c r="Q26" s="1" t="s">
        <v>2370</v>
      </c>
      <c r="R26" s="1" t="s">
        <v>2371</v>
      </c>
      <c r="S26" s="1">
        <v>8124933863</v>
      </c>
      <c r="T26" s="11" t="s">
        <v>2372</v>
      </c>
      <c r="U26" s="1">
        <v>8124933863</v>
      </c>
      <c r="V26" s="9"/>
      <c r="W26" s="1" t="s">
        <v>2367</v>
      </c>
      <c r="X26" s="1" t="s">
        <v>2368</v>
      </c>
      <c r="Y26" s="1">
        <v>8113014645</v>
      </c>
      <c r="Z26" s="11" t="s">
        <v>2369</v>
      </c>
      <c r="AA26" s="1">
        <v>8113014645</v>
      </c>
      <c r="AB26" s="9"/>
      <c r="AC26" s="1" t="s">
        <v>2373</v>
      </c>
      <c r="AD26" t="s">
        <v>2374</v>
      </c>
      <c r="AE26" s="1">
        <v>8116629136</v>
      </c>
      <c r="AF26" s="11" t="s">
        <v>2375</v>
      </c>
      <c r="AG26" s="1">
        <v>8116629136</v>
      </c>
      <c r="AI26" s="11" t="s">
        <v>2376</v>
      </c>
    </row>
    <row r="27" spans="1:36" x14ac:dyDescent="0.25">
      <c r="A27" s="1" t="s">
        <v>135</v>
      </c>
      <c r="B27" s="18" t="s">
        <v>2835</v>
      </c>
      <c r="C27" s="1" t="s">
        <v>2137</v>
      </c>
      <c r="D27" s="1" t="s">
        <v>1445</v>
      </c>
      <c r="E27" s="1" t="s">
        <v>1447</v>
      </c>
      <c r="F27" s="1" t="s">
        <v>4865</v>
      </c>
      <c r="G27" s="1" t="s">
        <v>4875</v>
      </c>
      <c r="H27" s="1" t="s">
        <v>4869</v>
      </c>
      <c r="I27" s="1" t="s">
        <v>4920</v>
      </c>
      <c r="J27" s="1" t="s">
        <v>4896</v>
      </c>
      <c r="K27" s="1" t="s">
        <v>4911</v>
      </c>
      <c r="L27" s="1" t="s">
        <v>2377</v>
      </c>
      <c r="M27" s="1">
        <v>8150007027</v>
      </c>
      <c r="N27" s="11" t="s">
        <v>2378</v>
      </c>
      <c r="O27" s="1">
        <v>8129142342</v>
      </c>
      <c r="P27" s="9"/>
      <c r="Q27" s="1" t="s">
        <v>1447</v>
      </c>
      <c r="R27" s="1" t="s">
        <v>2377</v>
      </c>
      <c r="S27" s="1">
        <v>8150007027</v>
      </c>
      <c r="T27" s="11" t="s">
        <v>2378</v>
      </c>
      <c r="U27" s="1">
        <v>8129142342</v>
      </c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1" t="s">
        <v>2379</v>
      </c>
      <c r="AJ27" t="s">
        <v>2380</v>
      </c>
    </row>
    <row r="28" spans="1:36" x14ac:dyDescent="0.25">
      <c r="A28" s="1" t="s">
        <v>136</v>
      </c>
      <c r="B28" s="1"/>
      <c r="C28" s="1" t="s">
        <v>2259</v>
      </c>
      <c r="D28" s="1" t="s">
        <v>2381</v>
      </c>
      <c r="E28" s="1" t="s">
        <v>2382</v>
      </c>
      <c r="F28" s="1" t="s">
        <v>4863</v>
      </c>
      <c r="G28" s="1" t="s">
        <v>4872</v>
      </c>
      <c r="H28" s="1" t="s">
        <v>4869</v>
      </c>
      <c r="I28" s="1" t="s">
        <v>4930</v>
      </c>
      <c r="J28" s="1" t="s">
        <v>4896</v>
      </c>
      <c r="K28" s="1" t="s">
        <v>4911</v>
      </c>
      <c r="L28" s="1" t="s">
        <v>1383</v>
      </c>
      <c r="M28" s="1">
        <v>8113434123</v>
      </c>
      <c r="N28" s="11" t="s">
        <v>2383</v>
      </c>
      <c r="O28" s="1">
        <v>8115900849</v>
      </c>
      <c r="P28" s="9"/>
      <c r="Q28" s="1" t="s">
        <v>2382</v>
      </c>
      <c r="R28" s="1" t="s">
        <v>1383</v>
      </c>
      <c r="S28" s="1">
        <v>8113434123</v>
      </c>
      <c r="T28" s="11" t="s">
        <v>2383</v>
      </c>
      <c r="U28" s="1">
        <v>8115900849</v>
      </c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1" t="s">
        <v>2384</v>
      </c>
    </row>
    <row r="29" spans="1:36" x14ac:dyDescent="0.25">
      <c r="A29" s="1" t="s">
        <v>137</v>
      </c>
      <c r="B29" s="18" t="s">
        <v>4024</v>
      </c>
      <c r="C29" s="1" t="s">
        <v>2013</v>
      </c>
      <c r="D29" s="1" t="s">
        <v>2385</v>
      </c>
      <c r="E29" s="1" t="s">
        <v>2386</v>
      </c>
      <c r="F29" s="1" t="s">
        <v>4863</v>
      </c>
      <c r="G29" s="1" t="s">
        <v>4873</v>
      </c>
      <c r="H29" s="1" t="s">
        <v>4869</v>
      </c>
      <c r="I29" s="1" t="s">
        <v>4923</v>
      </c>
      <c r="J29" s="1" t="s">
        <v>4896</v>
      </c>
      <c r="K29" s="1" t="s">
        <v>4914</v>
      </c>
      <c r="L29" s="1" t="s">
        <v>2387</v>
      </c>
      <c r="M29" s="1">
        <v>8183059008</v>
      </c>
      <c r="N29" s="11" t="s">
        <v>2388</v>
      </c>
      <c r="O29" s="1">
        <v>8117975313</v>
      </c>
      <c r="P29" s="9"/>
      <c r="Q29" s="1" t="s">
        <v>2389</v>
      </c>
      <c r="R29" s="1" t="s">
        <v>2390</v>
      </c>
      <c r="S29" s="1">
        <v>8183059021</v>
      </c>
      <c r="T29" s="11" t="s">
        <v>2391</v>
      </c>
      <c r="U29" s="1">
        <v>8119168840</v>
      </c>
      <c r="V29" s="9"/>
      <c r="W29" s="1" t="s">
        <v>2386</v>
      </c>
      <c r="X29" s="1" t="s">
        <v>2387</v>
      </c>
      <c r="Y29" s="1">
        <v>8183059008</v>
      </c>
      <c r="Z29" s="11" t="s">
        <v>2388</v>
      </c>
      <c r="AA29" s="1">
        <v>8117975313</v>
      </c>
      <c r="AB29" s="9"/>
      <c r="AC29" s="1"/>
      <c r="AD29" s="1"/>
      <c r="AE29" s="1"/>
      <c r="AF29" s="1"/>
      <c r="AG29" s="1"/>
      <c r="AI29" s="11" t="s">
        <v>2392</v>
      </c>
    </row>
    <row r="30" spans="1:36" x14ac:dyDescent="0.25">
      <c r="A30" s="1" t="s">
        <v>138</v>
      </c>
      <c r="B30" s="18" t="s">
        <v>2848</v>
      </c>
      <c r="C30" s="1" t="s">
        <v>2483</v>
      </c>
      <c r="D30" s="1" t="s">
        <v>2482</v>
      </c>
      <c r="E30" s="1" t="s">
        <v>2484</v>
      </c>
      <c r="F30" s="1" t="s">
        <v>4867</v>
      </c>
      <c r="G30" s="1" t="s">
        <v>4875</v>
      </c>
      <c r="H30" s="1" t="s">
        <v>4869</v>
      </c>
      <c r="I30" s="1" t="s">
        <v>5013</v>
      </c>
      <c r="J30" s="1" t="s">
        <v>4896</v>
      </c>
      <c r="K30" s="1" t="s">
        <v>4924</v>
      </c>
      <c r="L30" s="1" t="s">
        <v>2485</v>
      </c>
      <c r="M30" s="1">
        <v>8110010228</v>
      </c>
      <c r="N30" s="11" t="s">
        <v>2486</v>
      </c>
      <c r="O30" s="1">
        <v>8116008072</v>
      </c>
      <c r="P30" s="9"/>
      <c r="Q30" s="1" t="s">
        <v>2484</v>
      </c>
      <c r="R30" s="1" t="s">
        <v>2485</v>
      </c>
      <c r="S30" s="1">
        <v>8110010228</v>
      </c>
      <c r="T30" s="11" t="s">
        <v>2486</v>
      </c>
      <c r="U30" s="1">
        <v>8116008072</v>
      </c>
      <c r="V30" s="9"/>
      <c r="W30" s="1" t="s">
        <v>2487</v>
      </c>
      <c r="X30" s="1" t="s">
        <v>2488</v>
      </c>
      <c r="Y30" s="1">
        <v>8110010213</v>
      </c>
      <c r="Z30" s="11" t="s">
        <v>2499</v>
      </c>
      <c r="AA30" s="1">
        <v>8119164684</v>
      </c>
      <c r="AB30" s="9"/>
      <c r="AC30" s="1" t="s">
        <v>2489</v>
      </c>
      <c r="AD30" s="1" t="s">
        <v>2490</v>
      </c>
      <c r="AE30" s="1">
        <v>8110010236</v>
      </c>
      <c r="AF30" s="11" t="s">
        <v>2491</v>
      </c>
      <c r="AG30" s="1">
        <v>8184683506</v>
      </c>
      <c r="AI30" s="11" t="s">
        <v>2492</v>
      </c>
    </row>
    <row r="31" spans="1:36" x14ac:dyDescent="0.25">
      <c r="A31" s="1" t="s">
        <v>139</v>
      </c>
      <c r="B31" s="18" t="s">
        <v>2849</v>
      </c>
      <c r="C31" s="1" t="s">
        <v>2259</v>
      </c>
      <c r="D31" s="1" t="s">
        <v>2773</v>
      </c>
      <c r="E31" s="1" t="s">
        <v>2493</v>
      </c>
      <c r="F31" s="1" t="s">
        <v>4867</v>
      </c>
      <c r="G31" s="1" t="s">
        <v>4875</v>
      </c>
      <c r="H31" s="1" t="s">
        <v>4869</v>
      </c>
      <c r="I31" s="1" t="s">
        <v>5013</v>
      </c>
      <c r="J31" s="1" t="s">
        <v>4896</v>
      </c>
      <c r="K31" s="1" t="s">
        <v>4911</v>
      </c>
      <c r="L31" s="1" t="s">
        <v>1778</v>
      </c>
      <c r="M31" s="1">
        <v>6461217321</v>
      </c>
      <c r="N31" s="11" t="s">
        <v>2494</v>
      </c>
      <c r="O31" s="1">
        <v>6461217321</v>
      </c>
      <c r="P31" s="9"/>
      <c r="Q31" s="1" t="s">
        <v>2495</v>
      </c>
      <c r="R31" s="1" t="s">
        <v>2496</v>
      </c>
      <c r="S31" s="1">
        <v>8183286600</v>
      </c>
      <c r="T31" s="11" t="s">
        <v>2497</v>
      </c>
      <c r="U31" s="1">
        <v>8115368585</v>
      </c>
      <c r="V31" s="9"/>
      <c r="W31" s="1" t="s">
        <v>2498</v>
      </c>
      <c r="X31" s="1" t="s">
        <v>2500</v>
      </c>
      <c r="Y31" s="13">
        <v>6461217321</v>
      </c>
      <c r="Z31" s="11" t="s">
        <v>2501</v>
      </c>
      <c r="AA31" s="13">
        <v>6461217321</v>
      </c>
      <c r="AB31" s="9"/>
      <c r="AC31" s="1" t="s">
        <v>2493</v>
      </c>
      <c r="AD31" s="1" t="s">
        <v>1778</v>
      </c>
      <c r="AE31" s="1">
        <v>6461217321</v>
      </c>
      <c r="AF31" s="11" t="s">
        <v>2494</v>
      </c>
      <c r="AG31" s="1">
        <v>6461217321</v>
      </c>
      <c r="AI31" s="11" t="s">
        <v>2502</v>
      </c>
    </row>
    <row r="32" spans="1:36" x14ac:dyDescent="0.25">
      <c r="A32" s="1" t="s">
        <v>140</v>
      </c>
      <c r="B32" s="1"/>
      <c r="C32" s="1" t="s">
        <v>2943</v>
      </c>
      <c r="D32" s="1" t="s">
        <v>2944</v>
      </c>
      <c r="E32" s="1" t="s">
        <v>2945</v>
      </c>
      <c r="F32" s="1" t="s">
        <v>4863</v>
      </c>
      <c r="G32" s="1" t="s">
        <v>4872</v>
      </c>
      <c r="H32" s="1" t="s">
        <v>4869</v>
      </c>
      <c r="I32" s="1" t="s">
        <v>4926</v>
      </c>
      <c r="J32" s="1" t="s">
        <v>4896</v>
      </c>
      <c r="K32" s="1" t="s">
        <v>4911</v>
      </c>
      <c r="L32" s="1" t="s">
        <v>2946</v>
      </c>
      <c r="M32" s="1">
        <v>8110376016</v>
      </c>
      <c r="N32" s="11" t="s">
        <v>2947</v>
      </c>
      <c r="O32" s="1">
        <v>8110376016</v>
      </c>
      <c r="P32" s="9"/>
      <c r="Q32" s="1" t="s">
        <v>2945</v>
      </c>
      <c r="R32" s="1" t="s">
        <v>2946</v>
      </c>
      <c r="S32" s="1">
        <v>8110376016</v>
      </c>
      <c r="T32" s="11" t="s">
        <v>2947</v>
      </c>
      <c r="U32" s="1">
        <v>8110376016</v>
      </c>
      <c r="V32" s="9"/>
      <c r="W32" s="1" t="s">
        <v>2948</v>
      </c>
      <c r="X32" s="1" t="s">
        <v>1482</v>
      </c>
      <c r="Y32" s="1">
        <v>8182593792</v>
      </c>
      <c r="Z32" s="11" t="s">
        <v>2949</v>
      </c>
      <c r="AA32" s="1">
        <v>8182593792</v>
      </c>
      <c r="AB32" s="9"/>
      <c r="AC32" s="1" t="s">
        <v>2950</v>
      </c>
      <c r="AD32" s="1" t="s">
        <v>1494</v>
      </c>
      <c r="AE32" s="1">
        <v>8115663167</v>
      </c>
      <c r="AF32" s="11" t="s">
        <v>2951</v>
      </c>
      <c r="AG32" s="1">
        <v>8115663167</v>
      </c>
      <c r="AI32" s="11" t="s">
        <v>3765</v>
      </c>
    </row>
    <row r="33" spans="1:35" x14ac:dyDescent="0.25">
      <c r="A33" s="1" t="s">
        <v>141</v>
      </c>
      <c r="B33" s="18" t="s">
        <v>3993</v>
      </c>
      <c r="C33" s="1" t="s">
        <v>2259</v>
      </c>
      <c r="D33" s="31" t="s">
        <v>2952</v>
      </c>
      <c r="E33" s="1" t="s">
        <v>2953</v>
      </c>
      <c r="F33" s="1" t="s">
        <v>4864</v>
      </c>
      <c r="G33" s="1" t="s">
        <v>4875</v>
      </c>
      <c r="H33" s="1" t="s">
        <v>4869</v>
      </c>
      <c r="I33" s="1" t="s">
        <v>4923</v>
      </c>
      <c r="J33" s="1" t="s">
        <v>4896</v>
      </c>
      <c r="K33" s="1" t="s">
        <v>4931</v>
      </c>
      <c r="L33" s="1" t="s">
        <v>2954</v>
      </c>
      <c r="M33" s="1">
        <v>8120404185</v>
      </c>
      <c r="N33" s="11" t="s">
        <v>2955</v>
      </c>
      <c r="O33" s="1">
        <v>8120404185</v>
      </c>
      <c r="P33" s="9"/>
      <c r="Q33" s="1" t="s">
        <v>2953</v>
      </c>
      <c r="R33" s="1" t="s">
        <v>2954</v>
      </c>
      <c r="S33" s="1">
        <v>8120404185</v>
      </c>
      <c r="T33" s="11" t="s">
        <v>2955</v>
      </c>
      <c r="U33" s="1">
        <v>8120404185</v>
      </c>
      <c r="V33" s="9"/>
      <c r="W33" s="1" t="s">
        <v>2956</v>
      </c>
      <c r="X33" s="1" t="s">
        <v>2957</v>
      </c>
      <c r="Y33" s="1">
        <v>8120101576</v>
      </c>
      <c r="Z33" s="11" t="s">
        <v>2958</v>
      </c>
      <c r="AA33" s="1">
        <v>8120101576</v>
      </c>
      <c r="AB33" s="9"/>
      <c r="AC33" s="1" t="s">
        <v>2959</v>
      </c>
      <c r="AD33" s="1" t="s">
        <v>2960</v>
      </c>
      <c r="AE33" s="1" t="s">
        <v>1398</v>
      </c>
      <c r="AF33" s="11" t="s">
        <v>2961</v>
      </c>
      <c r="AG33" s="1" t="s">
        <v>1398</v>
      </c>
      <c r="AI33" s="17" t="s">
        <v>3766</v>
      </c>
    </row>
    <row r="34" spans="1:35" x14ac:dyDescent="0.25">
      <c r="A34" s="1" t="s">
        <v>142</v>
      </c>
      <c r="B34" s="18" t="s">
        <v>3915</v>
      </c>
      <c r="C34" s="1" t="s">
        <v>2962</v>
      </c>
      <c r="D34" s="31" t="s">
        <v>2772</v>
      </c>
      <c r="E34" s="1" t="s">
        <v>2254</v>
      </c>
      <c r="F34" s="1" t="s">
        <v>4863</v>
      </c>
      <c r="G34" s="1" t="s">
        <v>4875</v>
      </c>
      <c r="H34" s="1" t="s">
        <v>4869</v>
      </c>
      <c r="I34" s="1" t="s">
        <v>4918</v>
      </c>
      <c r="J34" s="1" t="s">
        <v>4896</v>
      </c>
      <c r="K34" s="1" t="s">
        <v>4911</v>
      </c>
      <c r="L34" s="1" t="s">
        <v>2249</v>
      </c>
      <c r="M34" s="1">
        <v>8134047633</v>
      </c>
      <c r="N34" s="11" t="s">
        <v>2963</v>
      </c>
      <c r="O34" s="1">
        <v>8134047633</v>
      </c>
      <c r="P34" s="9"/>
      <c r="Q34" s="1" t="s">
        <v>2254</v>
      </c>
      <c r="R34" s="1" t="s">
        <v>2249</v>
      </c>
      <c r="S34" s="1">
        <v>8134047633</v>
      </c>
      <c r="T34" s="11" t="s">
        <v>2963</v>
      </c>
      <c r="U34" s="1">
        <v>8134047633</v>
      </c>
      <c r="V34" s="9"/>
      <c r="W34" s="1" t="s">
        <v>2964</v>
      </c>
      <c r="X34" s="1" t="s">
        <v>2965</v>
      </c>
      <c r="Y34" s="1">
        <v>8115440768</v>
      </c>
      <c r="Z34" s="11" t="s">
        <v>2966</v>
      </c>
      <c r="AA34" s="1">
        <v>8115440768</v>
      </c>
      <c r="AB34" s="9"/>
      <c r="AC34" s="1" t="s">
        <v>2967</v>
      </c>
      <c r="AD34" s="1" t="s">
        <v>2968</v>
      </c>
      <c r="AE34" s="1">
        <v>8119901478</v>
      </c>
      <c r="AF34" s="11" t="s">
        <v>2969</v>
      </c>
      <c r="AG34" s="1">
        <v>8119901478</v>
      </c>
      <c r="AI34" s="11" t="s">
        <v>3767</v>
      </c>
    </row>
    <row r="35" spans="1:35" x14ac:dyDescent="0.25">
      <c r="A35" s="1" t="s">
        <v>143</v>
      </c>
      <c r="B35" s="18" t="s">
        <v>3914</v>
      </c>
      <c r="C35" s="1" t="s">
        <v>2970</v>
      </c>
      <c r="D35" s="1" t="s">
        <v>2971</v>
      </c>
      <c r="E35" s="1" t="s">
        <v>2972</v>
      </c>
      <c r="F35" s="1" t="s">
        <v>4867</v>
      </c>
      <c r="G35" s="1" t="s">
        <v>4875</v>
      </c>
      <c r="H35" s="1" t="s">
        <v>4869</v>
      </c>
      <c r="I35" s="1" t="s">
        <v>4920</v>
      </c>
      <c r="J35" s="1" t="s">
        <v>4896</v>
      </c>
      <c r="K35" s="1" t="s">
        <v>4911</v>
      </c>
      <c r="L35" s="1" t="s">
        <v>1482</v>
      </c>
      <c r="M35" s="1">
        <v>8119117161</v>
      </c>
      <c r="N35" s="11" t="s">
        <v>2973</v>
      </c>
      <c r="O35" s="1">
        <v>8119117161</v>
      </c>
      <c r="P35" s="9"/>
      <c r="Q35" s="1" t="s">
        <v>2972</v>
      </c>
      <c r="R35" s="1" t="s">
        <v>1482</v>
      </c>
      <c r="S35" s="1">
        <v>8119117161</v>
      </c>
      <c r="T35" s="11" t="s">
        <v>2973</v>
      </c>
      <c r="U35" s="1">
        <v>8119117161</v>
      </c>
      <c r="V35" s="9"/>
      <c r="W35" s="1" t="s">
        <v>2974</v>
      </c>
      <c r="X35" s="1" t="s">
        <v>2975</v>
      </c>
      <c r="Y35" s="1">
        <v>8121882070</v>
      </c>
      <c r="Z35" s="11" t="s">
        <v>2976</v>
      </c>
      <c r="AA35" s="1">
        <v>8121882070</v>
      </c>
      <c r="AB35" s="9"/>
      <c r="AC35" s="1"/>
      <c r="AD35" s="1"/>
      <c r="AE35" s="1"/>
      <c r="AF35" s="1"/>
      <c r="AG35" s="1"/>
      <c r="AI35" s="11" t="s">
        <v>3768</v>
      </c>
    </row>
    <row r="36" spans="1:35" x14ac:dyDescent="0.25">
      <c r="A36" s="1" t="s">
        <v>144</v>
      </c>
      <c r="B36" s="18" t="s">
        <v>3913</v>
      </c>
      <c r="C36" s="1" t="s">
        <v>2977</v>
      </c>
      <c r="D36" s="1" t="s">
        <v>2978</v>
      </c>
      <c r="E36" s="1" t="s">
        <v>2979</v>
      </c>
      <c r="F36" s="1" t="s">
        <v>4864</v>
      </c>
      <c r="G36" s="1" t="s">
        <v>4874</v>
      </c>
      <c r="H36" s="1" t="s">
        <v>4869</v>
      </c>
      <c r="I36" s="1" t="s">
        <v>4920</v>
      </c>
      <c r="J36" s="1" t="s">
        <v>4896</v>
      </c>
      <c r="K36" s="1" t="s">
        <v>4924</v>
      </c>
      <c r="L36" s="1" t="s">
        <v>2980</v>
      </c>
      <c r="M36" s="1">
        <v>8218101396</v>
      </c>
      <c r="N36" s="11" t="s">
        <v>2981</v>
      </c>
      <c r="O36" s="1">
        <v>8218101396</v>
      </c>
      <c r="P36" s="9"/>
      <c r="Q36" s="1" t="s">
        <v>2979</v>
      </c>
      <c r="R36" s="1" t="s">
        <v>2980</v>
      </c>
      <c r="S36" s="1">
        <v>8218101396</v>
      </c>
      <c r="T36" s="11" t="s">
        <v>2981</v>
      </c>
      <c r="U36" s="1">
        <v>8218101396</v>
      </c>
      <c r="V36" s="9"/>
      <c r="W36" s="1" t="s">
        <v>2982</v>
      </c>
      <c r="X36" s="1" t="s">
        <v>2983</v>
      </c>
      <c r="Y36" s="1">
        <v>8117626350</v>
      </c>
      <c r="Z36" s="11" t="s">
        <v>2984</v>
      </c>
      <c r="AA36" s="1">
        <v>8117626350</v>
      </c>
      <c r="AB36" s="9"/>
      <c r="AC36" s="1"/>
      <c r="AD36" s="1"/>
      <c r="AE36" s="1"/>
      <c r="AF36" s="1"/>
      <c r="AG36" s="1"/>
      <c r="AI36" s="11" t="s">
        <v>3769</v>
      </c>
    </row>
    <row r="37" spans="1:35" x14ac:dyDescent="0.25">
      <c r="A37" s="1" t="s">
        <v>145</v>
      </c>
      <c r="B37" s="18" t="s">
        <v>3912</v>
      </c>
      <c r="C37" s="1" t="s">
        <v>2985</v>
      </c>
      <c r="D37" s="1" t="s">
        <v>2986</v>
      </c>
      <c r="E37" s="1" t="s">
        <v>2987</v>
      </c>
      <c r="F37" s="1" t="s">
        <v>4865</v>
      </c>
      <c r="G37" s="1" t="s">
        <v>4875</v>
      </c>
      <c r="H37" s="1" t="s">
        <v>4869</v>
      </c>
      <c r="I37" s="1" t="s">
        <v>4916</v>
      </c>
      <c r="J37" s="1" t="s">
        <v>4896</v>
      </c>
      <c r="K37" s="1" t="s">
        <v>4928</v>
      </c>
      <c r="L37" s="1" t="s">
        <v>2988</v>
      </c>
      <c r="M37" s="1">
        <v>8118990400</v>
      </c>
      <c r="N37" s="11" t="s">
        <v>2989</v>
      </c>
      <c r="O37" s="1">
        <v>8118990400</v>
      </c>
      <c r="P37" s="9"/>
      <c r="Q37" s="1" t="s">
        <v>2987</v>
      </c>
      <c r="R37" s="1" t="s">
        <v>2988</v>
      </c>
      <c r="S37" s="1">
        <v>8118990400</v>
      </c>
      <c r="T37" s="11" t="s">
        <v>2989</v>
      </c>
      <c r="U37" s="1">
        <v>8118990400</v>
      </c>
      <c r="V37" s="9"/>
      <c r="W37" s="1" t="s">
        <v>2990</v>
      </c>
      <c r="X37" s="1" t="s">
        <v>2991</v>
      </c>
      <c r="Y37" s="1">
        <v>8112776581</v>
      </c>
      <c r="Z37" s="11" t="s">
        <v>2992</v>
      </c>
      <c r="AA37" s="1">
        <v>8112776581</v>
      </c>
      <c r="AB37" s="9"/>
      <c r="AC37" s="1"/>
      <c r="AD37" s="1"/>
      <c r="AE37" s="1"/>
      <c r="AF37" s="1"/>
      <c r="AG37" s="1"/>
      <c r="AI37" s="11" t="s">
        <v>3770</v>
      </c>
    </row>
    <row r="38" spans="1:35" x14ac:dyDescent="0.25">
      <c r="A38" s="1" t="s">
        <v>146</v>
      </c>
      <c r="B38" s="18" t="s">
        <v>3911</v>
      </c>
      <c r="C38" s="1" t="s">
        <v>3449</v>
      </c>
      <c r="D38" s="1" t="s">
        <v>3450</v>
      </c>
      <c r="E38" s="1" t="s">
        <v>3451</v>
      </c>
      <c r="F38" s="1" t="s">
        <v>4863</v>
      </c>
      <c r="G38" s="1" t="s">
        <v>4872</v>
      </c>
      <c r="H38" s="1" t="s">
        <v>4869</v>
      </c>
      <c r="I38" s="1" t="s">
        <v>5001</v>
      </c>
      <c r="J38" s="1" t="s">
        <v>4896</v>
      </c>
      <c r="K38" s="1" t="s">
        <v>4911</v>
      </c>
      <c r="L38" s="1" t="s">
        <v>1499</v>
      </c>
      <c r="M38" s="1">
        <v>8183474781</v>
      </c>
      <c r="N38" s="11" t="s">
        <v>3452</v>
      </c>
      <c r="O38" s="1">
        <v>8180282566</v>
      </c>
      <c r="P38" s="9"/>
      <c r="Q38" s="1" t="s">
        <v>3451</v>
      </c>
      <c r="R38" s="1" t="s">
        <v>1499</v>
      </c>
      <c r="S38" s="1">
        <v>8183474781</v>
      </c>
      <c r="T38" s="11" t="s">
        <v>3452</v>
      </c>
      <c r="U38" s="1">
        <v>8180282566</v>
      </c>
      <c r="V38" s="9"/>
      <c r="W38" s="1" t="s">
        <v>3453</v>
      </c>
      <c r="X38" s="1" t="s">
        <v>2727</v>
      </c>
      <c r="Y38" s="1">
        <v>8183474781</v>
      </c>
      <c r="Z38" s="11" t="s">
        <v>3454</v>
      </c>
      <c r="AA38" s="1">
        <v>8182547540</v>
      </c>
      <c r="AB38" s="9"/>
      <c r="AC38" s="1"/>
      <c r="AD38" s="1"/>
      <c r="AE38" s="1"/>
      <c r="AF38" s="1"/>
      <c r="AG38" s="1"/>
      <c r="AI38" s="11" t="s">
        <v>3771</v>
      </c>
    </row>
    <row r="39" spans="1:35" x14ac:dyDescent="0.25">
      <c r="A39" s="1" t="s">
        <v>147</v>
      </c>
      <c r="B39" s="1"/>
      <c r="C39" s="1" t="s">
        <v>3464</v>
      </c>
      <c r="D39" s="1" t="s">
        <v>4061</v>
      </c>
      <c r="E39" s="1" t="s">
        <v>3462</v>
      </c>
      <c r="F39" s="1" t="s">
        <v>4863</v>
      </c>
      <c r="G39" s="1" t="s">
        <v>4873</v>
      </c>
      <c r="H39" s="1" t="s">
        <v>4869</v>
      </c>
      <c r="I39" s="1" t="s">
        <v>4925</v>
      </c>
      <c r="J39" s="1" t="s">
        <v>4896</v>
      </c>
      <c r="K39" s="1" t="s">
        <v>4911</v>
      </c>
      <c r="L39" s="1" t="s">
        <v>1482</v>
      </c>
      <c r="M39" s="1">
        <v>8115990674</v>
      </c>
      <c r="N39" s="11" t="s">
        <v>3461</v>
      </c>
      <c r="O39" s="1">
        <v>8115990674</v>
      </c>
      <c r="P39" s="9"/>
      <c r="Q39" s="1" t="s">
        <v>3462</v>
      </c>
      <c r="R39" s="1" t="s">
        <v>1482</v>
      </c>
      <c r="S39" s="1">
        <v>8115990674</v>
      </c>
      <c r="T39" s="11" t="s">
        <v>3463</v>
      </c>
      <c r="U39" s="1">
        <v>8115990674</v>
      </c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1" t="s">
        <v>3465</v>
      </c>
    </row>
    <row r="40" spans="1:35" x14ac:dyDescent="0.25">
      <c r="A40" s="1" t="s">
        <v>148</v>
      </c>
      <c r="B40" s="1"/>
      <c r="C40" s="13" t="s">
        <v>3449</v>
      </c>
      <c r="D40" s="1" t="s">
        <v>3466</v>
      </c>
      <c r="E40" s="1" t="s">
        <v>3467</v>
      </c>
      <c r="F40" s="1" t="s">
        <v>4863</v>
      </c>
      <c r="G40" s="1" t="s">
        <v>4872</v>
      </c>
      <c r="H40" s="1" t="s">
        <v>4869</v>
      </c>
      <c r="I40" s="1" t="s">
        <v>4926</v>
      </c>
      <c r="J40" s="1" t="s">
        <v>4896</v>
      </c>
      <c r="K40" s="1" t="s">
        <v>4911</v>
      </c>
      <c r="L40" s="1" t="s">
        <v>3468</v>
      </c>
      <c r="M40" s="1">
        <v>8120680085</v>
      </c>
      <c r="N40" s="11" t="s">
        <v>3469</v>
      </c>
      <c r="O40" s="1">
        <v>8120680085</v>
      </c>
      <c r="P40" s="9"/>
      <c r="Q40" s="1" t="s">
        <v>3467</v>
      </c>
      <c r="R40" s="1" t="s">
        <v>3468</v>
      </c>
      <c r="S40" s="1">
        <v>8120680085</v>
      </c>
      <c r="T40" s="11" t="s">
        <v>3469</v>
      </c>
      <c r="U40" s="1">
        <v>8120680085</v>
      </c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1" t="s">
        <v>3470</v>
      </c>
    </row>
    <row r="41" spans="1:35" x14ac:dyDescent="0.25">
      <c r="A41" s="1" t="s">
        <v>149</v>
      </c>
      <c r="B41" s="18" t="s">
        <v>3910</v>
      </c>
      <c r="C41" s="1" t="s">
        <v>3284</v>
      </c>
      <c r="D41" s="1" t="s">
        <v>3471</v>
      </c>
      <c r="E41" s="1" t="s">
        <v>3472</v>
      </c>
      <c r="F41" s="1" t="s">
        <v>4863</v>
      </c>
      <c r="G41" s="1" t="s">
        <v>4874</v>
      </c>
      <c r="H41" s="1" t="s">
        <v>4869</v>
      </c>
      <c r="I41" s="1" t="s">
        <v>5010</v>
      </c>
      <c r="J41" s="1" t="s">
        <v>4896</v>
      </c>
      <c r="K41" s="1" t="s">
        <v>4911</v>
      </c>
      <c r="L41" s="1" t="s">
        <v>3473</v>
      </c>
      <c r="M41" s="1" t="s">
        <v>1483</v>
      </c>
      <c r="N41" s="1" t="s">
        <v>1483</v>
      </c>
      <c r="O41" s="1" t="s">
        <v>1483</v>
      </c>
      <c r="P41" s="9"/>
      <c r="Q41" s="1" t="s">
        <v>3474</v>
      </c>
      <c r="R41" s="1" t="s">
        <v>3475</v>
      </c>
      <c r="S41" s="1">
        <v>8211181736</v>
      </c>
      <c r="T41" s="11" t="s">
        <v>3476</v>
      </c>
      <c r="U41" s="1">
        <v>8211181736</v>
      </c>
      <c r="V41" s="9"/>
      <c r="W41" s="1" t="s">
        <v>3477</v>
      </c>
      <c r="X41" s="1" t="s">
        <v>3475</v>
      </c>
      <c r="Y41" s="1">
        <v>8211181736</v>
      </c>
      <c r="Z41" s="11" t="s">
        <v>3478</v>
      </c>
      <c r="AA41" s="1">
        <v>8211181736</v>
      </c>
      <c r="AB41" s="9"/>
      <c r="AC41" s="1" t="s">
        <v>3479</v>
      </c>
      <c r="AD41" s="1" t="s">
        <v>3475</v>
      </c>
      <c r="AE41" s="1">
        <v>8211922540</v>
      </c>
      <c r="AF41" s="11" t="s">
        <v>3480</v>
      </c>
      <c r="AG41" s="1">
        <v>8211922540</v>
      </c>
      <c r="AI41" s="11" t="s">
        <v>3481</v>
      </c>
    </row>
    <row r="42" spans="1:35" x14ac:dyDescent="0.25">
      <c r="A42" s="1" t="s">
        <v>150</v>
      </c>
      <c r="B42" s="18" t="s">
        <v>3909</v>
      </c>
      <c r="C42" s="1" t="s">
        <v>3076</v>
      </c>
      <c r="D42" s="1" t="s">
        <v>3655</v>
      </c>
      <c r="E42" s="1" t="s">
        <v>3656</v>
      </c>
      <c r="F42" s="1" t="s">
        <v>4865</v>
      </c>
      <c r="G42" s="1" t="s">
        <v>4875</v>
      </c>
      <c r="H42" s="1" t="s">
        <v>4869</v>
      </c>
      <c r="I42" s="1" t="s">
        <v>4922</v>
      </c>
      <c r="J42" s="1" t="s">
        <v>4896</v>
      </c>
      <c r="K42" s="1" t="s">
        <v>4911</v>
      </c>
      <c r="L42" s="1" t="s">
        <v>1483</v>
      </c>
      <c r="M42" s="1" t="s">
        <v>1483</v>
      </c>
      <c r="N42" s="1" t="s">
        <v>1483</v>
      </c>
      <c r="O42" s="1" t="s">
        <v>1483</v>
      </c>
      <c r="P42" s="9"/>
      <c r="Q42" s="1" t="s">
        <v>3657</v>
      </c>
      <c r="R42" s="1" t="s">
        <v>3019</v>
      </c>
      <c r="S42" s="1">
        <v>8115042152</v>
      </c>
      <c r="T42" s="11" t="s">
        <v>3020</v>
      </c>
      <c r="U42" s="1" t="s">
        <v>1483</v>
      </c>
      <c r="V42" s="9"/>
      <c r="W42" s="1" t="s">
        <v>3658</v>
      </c>
      <c r="X42" s="1" t="s">
        <v>2727</v>
      </c>
      <c r="Y42" s="1" t="s">
        <v>1483</v>
      </c>
      <c r="Z42" s="11" t="s">
        <v>3659</v>
      </c>
      <c r="AA42" s="1" t="s">
        <v>1483</v>
      </c>
      <c r="AB42" s="9"/>
      <c r="AC42" s="1"/>
      <c r="AD42" s="1"/>
      <c r="AE42" s="1"/>
      <c r="AF42" s="1"/>
      <c r="AG42" s="1"/>
      <c r="AI42" s="11" t="s">
        <v>3660</v>
      </c>
    </row>
    <row r="43" spans="1:35" x14ac:dyDescent="0.25">
      <c r="A43" s="1" t="s">
        <v>151</v>
      </c>
      <c r="B43" s="18" t="s">
        <v>3908</v>
      </c>
      <c r="C43" s="1" t="s">
        <v>1398</v>
      </c>
      <c r="D43" s="1" t="s">
        <v>3662</v>
      </c>
      <c r="E43" s="1" t="s">
        <v>3663</v>
      </c>
      <c r="F43" s="1" t="s">
        <v>4863</v>
      </c>
      <c r="G43" s="1" t="s">
        <v>4873</v>
      </c>
      <c r="H43" s="1" t="s">
        <v>4869</v>
      </c>
      <c r="I43" s="1" t="s">
        <v>5010</v>
      </c>
      <c r="J43" s="1" t="s">
        <v>4896</v>
      </c>
      <c r="K43" s="1" t="s">
        <v>4924</v>
      </c>
      <c r="L43" s="1" t="s">
        <v>1597</v>
      </c>
      <c r="M43" s="1">
        <v>8115230350</v>
      </c>
      <c r="N43" s="11" t="s">
        <v>3664</v>
      </c>
      <c r="O43" s="1">
        <v>8115230350</v>
      </c>
      <c r="P43" s="9"/>
      <c r="Q43" s="1" t="s">
        <v>3663</v>
      </c>
      <c r="R43" s="1" t="s">
        <v>1597</v>
      </c>
      <c r="S43" s="1">
        <v>8115230350</v>
      </c>
      <c r="T43" s="11" t="s">
        <v>3664</v>
      </c>
      <c r="U43" s="1">
        <v>8115230350</v>
      </c>
      <c r="V43" s="9"/>
      <c r="W43" s="1" t="s">
        <v>3665</v>
      </c>
      <c r="X43" s="1" t="s">
        <v>3666</v>
      </c>
      <c r="Y43" s="1">
        <v>8110183491</v>
      </c>
      <c r="Z43" s="11" t="s">
        <v>3667</v>
      </c>
      <c r="AA43" s="1">
        <v>8110183491</v>
      </c>
      <c r="AB43" s="9"/>
      <c r="AC43" s="1"/>
      <c r="AD43" s="1"/>
      <c r="AE43" s="1"/>
      <c r="AF43" s="1"/>
      <c r="AG43" s="1"/>
      <c r="AI43" s="11" t="s">
        <v>3668</v>
      </c>
    </row>
    <row r="44" spans="1:35" x14ac:dyDescent="0.25">
      <c r="A44" s="1" t="s">
        <v>152</v>
      </c>
      <c r="B44" s="1"/>
      <c r="C44" s="1" t="s">
        <v>3979</v>
      </c>
      <c r="D44" s="1" t="s">
        <v>3980</v>
      </c>
      <c r="E44" s="1" t="s">
        <v>3981</v>
      </c>
      <c r="F44" s="1" t="s">
        <v>4863</v>
      </c>
      <c r="G44" s="1" t="s">
        <v>4874</v>
      </c>
      <c r="H44" s="1" t="s">
        <v>4869</v>
      </c>
      <c r="I44" s="1" t="s">
        <v>5010</v>
      </c>
      <c r="J44" s="1" t="s">
        <v>4896</v>
      </c>
      <c r="K44" s="1" t="s">
        <v>4924</v>
      </c>
      <c r="L44" s="1" t="s">
        <v>1483</v>
      </c>
      <c r="M44" s="1" t="s">
        <v>1483</v>
      </c>
      <c r="N44" s="1" t="s">
        <v>1483</v>
      </c>
      <c r="O44" s="1" t="s">
        <v>1483</v>
      </c>
      <c r="P44" s="9"/>
      <c r="Q44" s="1" t="s">
        <v>3982</v>
      </c>
      <c r="R44" s="1" t="s">
        <v>3983</v>
      </c>
      <c r="S44" s="1">
        <v>8111817181</v>
      </c>
      <c r="T44" s="11" t="s">
        <v>3984</v>
      </c>
      <c r="U44" s="1">
        <v>8111817181</v>
      </c>
      <c r="V44" s="9"/>
      <c r="W44" s="1" t="s">
        <v>3985</v>
      </c>
      <c r="X44" s="13" t="s">
        <v>3986</v>
      </c>
      <c r="Y44" s="1">
        <v>8111131217</v>
      </c>
      <c r="Z44" s="11" t="s">
        <v>3987</v>
      </c>
      <c r="AA44" s="1">
        <v>8111131217</v>
      </c>
      <c r="AB44" s="9"/>
      <c r="AC44" s="1"/>
      <c r="AD44" s="1"/>
      <c r="AE44" s="1"/>
      <c r="AF44" s="1"/>
      <c r="AG44" s="1"/>
      <c r="AI44" s="11" t="s">
        <v>3988</v>
      </c>
    </row>
    <row r="45" spans="1:35" x14ac:dyDescent="0.25">
      <c r="A45" s="1" t="s">
        <v>153</v>
      </c>
      <c r="B45" t="s">
        <v>4278</v>
      </c>
      <c r="C45" s="1" t="s">
        <v>2943</v>
      </c>
      <c r="D45" s="1" t="s">
        <v>4277</v>
      </c>
      <c r="E45" s="1" t="s">
        <v>4279</v>
      </c>
      <c r="F45" s="1" t="s">
        <v>4865</v>
      </c>
      <c r="G45" s="1" t="s">
        <v>4874</v>
      </c>
      <c r="H45" s="1" t="s">
        <v>4869</v>
      </c>
      <c r="I45" s="1" t="s">
        <v>4920</v>
      </c>
      <c r="J45" s="1" t="s">
        <v>4896</v>
      </c>
      <c r="K45" s="1" t="s">
        <v>4911</v>
      </c>
      <c r="L45" s="1" t="s">
        <v>1482</v>
      </c>
      <c r="M45" s="1">
        <v>8117726442</v>
      </c>
      <c r="N45" s="11" t="s">
        <v>4280</v>
      </c>
      <c r="O45" s="1" t="s">
        <v>1483</v>
      </c>
      <c r="P45" s="9"/>
      <c r="Q45" s="1" t="s">
        <v>4279</v>
      </c>
      <c r="R45" s="1" t="s">
        <v>1482</v>
      </c>
      <c r="S45" s="1">
        <v>8117726442</v>
      </c>
      <c r="T45" s="11" t="s">
        <v>4280</v>
      </c>
      <c r="U45" s="1" t="s">
        <v>1483</v>
      </c>
      <c r="V45" s="9"/>
      <c r="W45" s="1" t="s">
        <v>4281</v>
      </c>
      <c r="X45" s="1" t="s">
        <v>1989</v>
      </c>
      <c r="Y45" s="1">
        <v>8186783868</v>
      </c>
      <c r="Z45" s="11" t="s">
        <v>4282</v>
      </c>
      <c r="AA45" s="1">
        <v>8186783868</v>
      </c>
      <c r="AB45" s="9"/>
      <c r="AC45" s="1" t="s">
        <v>4283</v>
      </c>
      <c r="AD45" s="1" t="s">
        <v>4045</v>
      </c>
      <c r="AE45" s="1">
        <v>8120365455</v>
      </c>
      <c r="AF45" s="11" t="s">
        <v>4284</v>
      </c>
      <c r="AG45" s="1">
        <v>8120365455</v>
      </c>
      <c r="AI45" s="11" t="s">
        <v>4285</v>
      </c>
    </row>
    <row r="46" spans="1:35" x14ac:dyDescent="0.25">
      <c r="A46" s="1" t="s">
        <v>154</v>
      </c>
      <c r="B46" s="1"/>
      <c r="C46" s="1" t="s">
        <v>4073</v>
      </c>
      <c r="D46" s="1" t="s">
        <v>4286</v>
      </c>
      <c r="E46" s="1" t="s">
        <v>4287</v>
      </c>
      <c r="F46" s="1" t="s">
        <v>4863</v>
      </c>
      <c r="G46" s="1" t="s">
        <v>4873</v>
      </c>
      <c r="H46" s="1" t="s">
        <v>4869</v>
      </c>
      <c r="I46" s="1" t="s">
        <v>4930</v>
      </c>
      <c r="J46" s="1" t="s">
        <v>4896</v>
      </c>
      <c r="K46" s="1" t="s">
        <v>4932</v>
      </c>
      <c r="L46" s="1" t="s">
        <v>1368</v>
      </c>
      <c r="M46" s="1">
        <v>8126397767</v>
      </c>
      <c r="N46" s="11" t="s">
        <v>4288</v>
      </c>
      <c r="O46" s="1">
        <v>8126397767</v>
      </c>
      <c r="P46" s="9"/>
      <c r="Q46" s="1" t="s">
        <v>4289</v>
      </c>
      <c r="R46" s="1" t="s">
        <v>1482</v>
      </c>
      <c r="S46" s="1">
        <v>8118042384</v>
      </c>
      <c r="T46" s="11" t="s">
        <v>4290</v>
      </c>
      <c r="U46" s="1">
        <v>8118042384</v>
      </c>
      <c r="V46" s="9"/>
      <c r="W46" s="1" t="s">
        <v>4287</v>
      </c>
      <c r="X46" s="1" t="s">
        <v>1368</v>
      </c>
      <c r="Y46" s="1">
        <v>8126397767</v>
      </c>
      <c r="Z46" s="11" t="s">
        <v>4288</v>
      </c>
      <c r="AA46" s="1">
        <v>8126397767</v>
      </c>
      <c r="AB46" s="9"/>
      <c r="AC46" s="1"/>
      <c r="AD46" s="1"/>
      <c r="AE46" s="1"/>
      <c r="AF46" s="1"/>
      <c r="AG46" s="1"/>
      <c r="AI46" s="11" t="s">
        <v>4291</v>
      </c>
    </row>
    <row r="47" spans="1:35" x14ac:dyDescent="0.25">
      <c r="A47" s="1" t="s">
        <v>155</v>
      </c>
      <c r="B47" s="1"/>
      <c r="C47" s="1" t="s">
        <v>3076</v>
      </c>
      <c r="D47" s="1" t="s">
        <v>4292</v>
      </c>
      <c r="E47" s="1" t="s">
        <v>3656</v>
      </c>
      <c r="F47" s="1" t="s">
        <v>4864</v>
      </c>
      <c r="G47" s="1" t="s">
        <v>4875</v>
      </c>
      <c r="H47" s="1" t="s">
        <v>4869</v>
      </c>
      <c r="I47" s="1" t="s">
        <v>4916</v>
      </c>
      <c r="J47" s="1" t="s">
        <v>4896</v>
      </c>
      <c r="K47" s="1" t="s">
        <v>4911</v>
      </c>
      <c r="L47" s="1" t="s">
        <v>3473</v>
      </c>
      <c r="M47" s="1" t="s">
        <v>1483</v>
      </c>
      <c r="N47" s="1" t="s">
        <v>1483</v>
      </c>
      <c r="O47" s="1" t="s">
        <v>1483</v>
      </c>
      <c r="P47" s="9"/>
      <c r="Q47" s="1" t="s">
        <v>3658</v>
      </c>
      <c r="R47" s="1" t="s">
        <v>4293</v>
      </c>
      <c r="S47" s="1">
        <v>8127022742</v>
      </c>
      <c r="T47" s="11" t="s">
        <v>3659</v>
      </c>
      <c r="U47" s="1">
        <v>8127022742</v>
      </c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1" t="s">
        <v>4294</v>
      </c>
    </row>
    <row r="48" spans="1:35" x14ac:dyDescent="0.25">
      <c r="A48" s="1" t="s">
        <v>156</v>
      </c>
      <c r="B48" s="18" t="s">
        <v>4319</v>
      </c>
      <c r="C48" s="1" t="s">
        <v>4192</v>
      </c>
      <c r="D48" s="1" t="s">
        <v>4318</v>
      </c>
      <c r="E48" s="1" t="s">
        <v>4320</v>
      </c>
      <c r="F48" s="1" t="s">
        <v>4865</v>
      </c>
      <c r="G48" s="1" t="s">
        <v>4874</v>
      </c>
      <c r="H48" s="1" t="s">
        <v>4869</v>
      </c>
      <c r="I48" s="1" t="s">
        <v>4918</v>
      </c>
      <c r="J48" s="1" t="s">
        <v>4896</v>
      </c>
      <c r="K48" s="1" t="s">
        <v>4924</v>
      </c>
      <c r="L48" s="1" t="s">
        <v>3530</v>
      </c>
      <c r="M48" s="1">
        <v>8118246870</v>
      </c>
      <c r="N48" s="11" t="s">
        <v>4321</v>
      </c>
      <c r="O48" s="1">
        <v>8118246870</v>
      </c>
      <c r="P48" s="9"/>
      <c r="Q48" s="1" t="s">
        <v>4320</v>
      </c>
      <c r="R48" s="1" t="s">
        <v>3530</v>
      </c>
      <c r="S48" s="1">
        <v>8118246870</v>
      </c>
      <c r="T48" s="11" t="s">
        <v>4321</v>
      </c>
      <c r="U48" s="1">
        <v>8118246870</v>
      </c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1" t="s">
        <v>4322</v>
      </c>
    </row>
    <row r="49" spans="1:35" x14ac:dyDescent="0.25">
      <c r="A49" s="1" t="s">
        <v>157</v>
      </c>
      <c r="B49" s="1"/>
      <c r="C49" s="1" t="s">
        <v>4192</v>
      </c>
      <c r="D49" s="1" t="s">
        <v>4323</v>
      </c>
      <c r="E49" s="1" t="s">
        <v>4324</v>
      </c>
      <c r="F49" s="1" t="s">
        <v>4863</v>
      </c>
      <c r="G49" s="1" t="s">
        <v>4872</v>
      </c>
      <c r="H49" s="1" t="s">
        <v>4869</v>
      </c>
      <c r="I49" s="1" t="s">
        <v>4926</v>
      </c>
      <c r="J49" s="1" t="s">
        <v>4896</v>
      </c>
      <c r="K49" s="1" t="s">
        <v>4911</v>
      </c>
      <c r="L49" s="1" t="s">
        <v>4325</v>
      </c>
      <c r="M49" s="1">
        <v>8182428900</v>
      </c>
      <c r="N49" s="11" t="s">
        <v>4326</v>
      </c>
      <c r="O49" s="1">
        <v>8123939450</v>
      </c>
      <c r="P49" s="9"/>
      <c r="Q49" s="1" t="s">
        <v>4324</v>
      </c>
      <c r="R49" s="1" t="s">
        <v>4325</v>
      </c>
      <c r="S49" s="1">
        <v>8182428900</v>
      </c>
      <c r="T49" s="11" t="s">
        <v>4326</v>
      </c>
      <c r="U49" s="1">
        <v>8123939450</v>
      </c>
      <c r="V49" s="9"/>
      <c r="W49" s="1" t="s">
        <v>4327</v>
      </c>
      <c r="X49" s="1" t="s">
        <v>1522</v>
      </c>
      <c r="Y49" s="1">
        <v>8182428900</v>
      </c>
      <c r="Z49" s="11" t="s">
        <v>4328</v>
      </c>
      <c r="AA49" s="1">
        <v>8184717791</v>
      </c>
      <c r="AB49" s="9"/>
      <c r="AC49" s="1"/>
      <c r="AD49" s="1"/>
      <c r="AE49" s="1"/>
      <c r="AF49" s="1"/>
      <c r="AG49" s="1"/>
      <c r="AI49" s="11" t="s">
        <v>4329</v>
      </c>
    </row>
    <row r="50" spans="1:35" x14ac:dyDescent="0.25">
      <c r="A50" s="1" t="s">
        <v>158</v>
      </c>
      <c r="B50" s="18" t="s">
        <v>4467</v>
      </c>
      <c r="C50" s="1" t="s">
        <v>4375</v>
      </c>
      <c r="D50" s="1" t="s">
        <v>4466</v>
      </c>
      <c r="E50" s="1" t="s">
        <v>4468</v>
      </c>
      <c r="F50" s="1" t="s">
        <v>4865</v>
      </c>
      <c r="G50" s="1" t="s">
        <v>4875</v>
      </c>
      <c r="H50" s="1" t="s">
        <v>4869</v>
      </c>
      <c r="I50" s="1" t="s">
        <v>4918</v>
      </c>
      <c r="J50" s="1" t="s">
        <v>4896</v>
      </c>
      <c r="K50" s="1" t="s">
        <v>4911</v>
      </c>
      <c r="L50" s="1" t="s">
        <v>1461</v>
      </c>
      <c r="M50" s="1" t="s">
        <v>4469</v>
      </c>
      <c r="N50" s="11" t="s">
        <v>4470</v>
      </c>
      <c r="O50" s="1">
        <v>8181808557</v>
      </c>
      <c r="P50" s="9"/>
      <c r="Q50" s="1" t="s">
        <v>4466</v>
      </c>
      <c r="R50" s="1" t="s">
        <v>1461</v>
      </c>
      <c r="S50" s="1" t="s">
        <v>4469</v>
      </c>
      <c r="T50" s="11" t="s">
        <v>4470</v>
      </c>
      <c r="U50" s="1">
        <v>8181808557</v>
      </c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1" t="s">
        <v>4471</v>
      </c>
    </row>
    <row r="51" spans="1:35" x14ac:dyDescent="0.25">
      <c r="A51" s="1" t="s">
        <v>159</v>
      </c>
      <c r="B51" s="18" t="s">
        <v>4662</v>
      </c>
      <c r="C51" s="1" t="s">
        <v>4490</v>
      </c>
      <c r="D51" s="1" t="s">
        <v>4536</v>
      </c>
      <c r="E51" s="1" t="s">
        <v>4528</v>
      </c>
      <c r="F51" s="1" t="s">
        <v>4863</v>
      </c>
      <c r="G51" s="1" t="s">
        <v>4872</v>
      </c>
      <c r="H51" s="1" t="s">
        <v>4869</v>
      </c>
      <c r="I51" s="1" t="s">
        <v>4926</v>
      </c>
      <c r="J51" s="1" t="s">
        <v>4896</v>
      </c>
      <c r="K51" s="1" t="s">
        <v>4911</v>
      </c>
      <c r="L51" s="1" t="s">
        <v>2693</v>
      </c>
      <c r="M51" s="1">
        <v>8181033180</v>
      </c>
      <c r="N51" s="11" t="s">
        <v>4531</v>
      </c>
      <c r="O51" s="1">
        <v>8128706241</v>
      </c>
      <c r="P51" s="9"/>
      <c r="Q51" s="1" t="s">
        <v>4529</v>
      </c>
      <c r="R51" s="1" t="s">
        <v>2000</v>
      </c>
      <c r="S51" s="1">
        <v>81810330180</v>
      </c>
      <c r="T51" s="11" t="s">
        <v>4530</v>
      </c>
      <c r="U51" s="1">
        <v>8181850155</v>
      </c>
      <c r="V51" s="9"/>
      <c r="W51" s="1" t="s">
        <v>4532</v>
      </c>
      <c r="X51" s="1" t="s">
        <v>2693</v>
      </c>
      <c r="Y51" s="1">
        <v>8181033180</v>
      </c>
      <c r="Z51" s="11" t="s">
        <v>4531</v>
      </c>
      <c r="AA51" s="1">
        <v>8128706241</v>
      </c>
      <c r="AB51" s="9"/>
      <c r="AC51" s="1" t="s">
        <v>4533</v>
      </c>
      <c r="AD51" s="1" t="s">
        <v>4534</v>
      </c>
      <c r="AE51" s="1">
        <v>8181033180</v>
      </c>
      <c r="AF51" s="11" t="s">
        <v>4535</v>
      </c>
      <c r="AG51" s="1">
        <v>8136354976</v>
      </c>
      <c r="AI51" s="11" t="s">
        <v>4537</v>
      </c>
    </row>
    <row r="52" spans="1:35" x14ac:dyDescent="0.25">
      <c r="A52" s="1" t="s">
        <v>4522</v>
      </c>
      <c r="B52" s="18" t="s">
        <v>4663</v>
      </c>
      <c r="C52" s="1" t="s">
        <v>4192</v>
      </c>
      <c r="D52" s="1" t="s">
        <v>4538</v>
      </c>
      <c r="E52" s="1" t="s">
        <v>4539</v>
      </c>
      <c r="F52" s="1" t="s">
        <v>4865</v>
      </c>
      <c r="G52" s="1" t="s">
        <v>4874</v>
      </c>
      <c r="H52" s="1" t="s">
        <v>4869</v>
      </c>
      <c r="I52" s="1" t="s">
        <v>4916</v>
      </c>
      <c r="J52" s="1" t="s">
        <v>4896</v>
      </c>
      <c r="K52" s="1" t="s">
        <v>4911</v>
      </c>
      <c r="L52" s="1" t="s">
        <v>4540</v>
      </c>
      <c r="M52" s="1">
        <v>8141971470</v>
      </c>
      <c r="N52" s="11" t="s">
        <v>4541</v>
      </c>
      <c r="O52" s="1">
        <v>8119997216</v>
      </c>
      <c r="P52" s="9"/>
      <c r="Q52" s="1" t="s">
        <v>4539</v>
      </c>
      <c r="R52" s="1" t="s">
        <v>4540</v>
      </c>
      <c r="S52" s="1">
        <v>8141971470</v>
      </c>
      <c r="T52" s="11" t="s">
        <v>4541</v>
      </c>
      <c r="U52" s="1">
        <v>8119997216</v>
      </c>
      <c r="V52" s="9"/>
      <c r="W52" s="1" t="s">
        <v>4542</v>
      </c>
      <c r="X52" s="1" t="s">
        <v>4543</v>
      </c>
      <c r="Y52" s="1">
        <v>8141971470</v>
      </c>
      <c r="Z52" s="11" t="s">
        <v>4544</v>
      </c>
      <c r="AA52" s="1">
        <v>8132645325</v>
      </c>
      <c r="AB52" s="9"/>
      <c r="AC52" s="1" t="s">
        <v>4545</v>
      </c>
      <c r="AD52" s="1" t="s">
        <v>1762</v>
      </c>
      <c r="AE52" s="1">
        <v>8141971470</v>
      </c>
      <c r="AF52" s="11" t="s">
        <v>4546</v>
      </c>
      <c r="AG52" s="1">
        <v>8111665085</v>
      </c>
      <c r="AI52" s="11" t="s">
        <v>4547</v>
      </c>
    </row>
    <row r="53" spans="1:35" x14ac:dyDescent="0.25">
      <c r="A53" s="1" t="s">
        <v>4523</v>
      </c>
      <c r="B53" s="18" t="s">
        <v>4664</v>
      </c>
      <c r="C53" s="1" t="s">
        <v>4192</v>
      </c>
      <c r="D53" s="1" t="s">
        <v>4644</v>
      </c>
      <c r="E53" s="1" t="s">
        <v>4645</v>
      </c>
      <c r="F53" s="1" t="s">
        <v>4867</v>
      </c>
      <c r="G53" s="1" t="s">
        <v>4875</v>
      </c>
      <c r="H53" s="1" t="s">
        <v>4869</v>
      </c>
      <c r="I53" s="1" t="s">
        <v>4918</v>
      </c>
      <c r="J53" s="1" t="s">
        <v>4896</v>
      </c>
      <c r="K53" s="1" t="s">
        <v>4941</v>
      </c>
      <c r="L53" s="1" t="s">
        <v>4629</v>
      </c>
      <c r="M53" s="1">
        <v>8112290197</v>
      </c>
      <c r="N53" s="11" t="s">
        <v>4646</v>
      </c>
      <c r="O53" s="1">
        <v>8112290197</v>
      </c>
      <c r="P53" s="9"/>
      <c r="Q53" s="1" t="s">
        <v>4647</v>
      </c>
      <c r="R53" s="1" t="s">
        <v>4648</v>
      </c>
      <c r="S53" s="1">
        <v>8120021420</v>
      </c>
      <c r="T53" s="11" t="s">
        <v>4649</v>
      </c>
      <c r="U53" s="1">
        <v>8120021420</v>
      </c>
      <c r="V53" s="9"/>
      <c r="W53" s="1" t="s">
        <v>4650</v>
      </c>
      <c r="X53" s="1" t="s">
        <v>4651</v>
      </c>
      <c r="Y53" s="1">
        <v>8112457199</v>
      </c>
      <c r="Z53" s="11" t="s">
        <v>4652</v>
      </c>
      <c r="AA53" s="1">
        <v>8112457199</v>
      </c>
      <c r="AB53" s="9"/>
      <c r="AC53" s="1" t="s">
        <v>4645</v>
      </c>
      <c r="AD53" s="1" t="s">
        <v>4629</v>
      </c>
      <c r="AE53" s="1">
        <v>8112290197</v>
      </c>
      <c r="AF53" s="11" t="s">
        <v>4646</v>
      </c>
      <c r="AG53" s="1">
        <v>8112290197</v>
      </c>
      <c r="AI53" s="11" t="s">
        <v>4653</v>
      </c>
    </row>
    <row r="54" spans="1:35" x14ac:dyDescent="0.25">
      <c r="A54" s="1" t="s">
        <v>4524</v>
      </c>
      <c r="B54" s="18" t="s">
        <v>4664</v>
      </c>
      <c r="C54" s="13" t="s">
        <v>4683</v>
      </c>
      <c r="D54" s="1" t="s">
        <v>4682</v>
      </c>
      <c r="E54" s="1" t="s">
        <v>4684</v>
      </c>
      <c r="F54" s="1" t="s">
        <v>4863</v>
      </c>
      <c r="G54" s="1" t="s">
        <v>4872</v>
      </c>
      <c r="H54" s="1" t="s">
        <v>4869</v>
      </c>
      <c r="I54" s="1" t="s">
        <v>5009</v>
      </c>
      <c r="J54" s="1" t="s">
        <v>4896</v>
      </c>
      <c r="K54" s="1" t="s">
        <v>4911</v>
      </c>
      <c r="L54" s="1" t="s">
        <v>1398</v>
      </c>
      <c r="M54" s="1" t="s">
        <v>1398</v>
      </c>
      <c r="N54" s="1" t="s">
        <v>1398</v>
      </c>
      <c r="O54" s="1" t="s">
        <v>1398</v>
      </c>
      <c r="P54" s="9"/>
      <c r="Q54" s="1" t="s">
        <v>4685</v>
      </c>
      <c r="R54" s="1" t="s">
        <v>4686</v>
      </c>
      <c r="S54" s="1">
        <v>8183434607</v>
      </c>
      <c r="T54" s="11" t="s">
        <v>4687</v>
      </c>
      <c r="U54" s="1">
        <v>8121953693</v>
      </c>
      <c r="V54" s="9"/>
      <c r="W54" s="1" t="s">
        <v>4688</v>
      </c>
      <c r="X54" s="1" t="s">
        <v>1989</v>
      </c>
      <c r="Y54" s="13">
        <v>8183434607</v>
      </c>
      <c r="Z54" s="11" t="s">
        <v>4689</v>
      </c>
      <c r="AA54" s="1">
        <v>8131057879</v>
      </c>
      <c r="AB54" s="9"/>
      <c r="AC54" s="1"/>
      <c r="AD54" s="1"/>
      <c r="AE54" s="1"/>
      <c r="AF54" s="1"/>
      <c r="AG54" s="1"/>
      <c r="AI54" s="11" t="s">
        <v>4690</v>
      </c>
    </row>
    <row r="55" spans="1:35" x14ac:dyDescent="0.25">
      <c r="A55" s="1" t="s">
        <v>4525</v>
      </c>
      <c r="B55" s="18" t="s">
        <v>4856</v>
      </c>
      <c r="C55" s="1" t="s">
        <v>4192</v>
      </c>
      <c r="D55" s="1" t="s">
        <v>4694</v>
      </c>
      <c r="E55" s="1" t="s">
        <v>4695</v>
      </c>
      <c r="F55" s="1" t="s">
        <v>4867</v>
      </c>
      <c r="G55" s="1" t="s">
        <v>4875</v>
      </c>
      <c r="H55" s="1" t="s">
        <v>4869</v>
      </c>
      <c r="I55" s="1" t="s">
        <v>5014</v>
      </c>
      <c r="J55" s="1" t="s">
        <v>4896</v>
      </c>
      <c r="K55" s="1" t="s">
        <v>4924</v>
      </c>
      <c r="L55" s="1" t="s">
        <v>1522</v>
      </c>
      <c r="M55" s="1">
        <v>8129005782</v>
      </c>
      <c r="N55" s="11" t="s">
        <v>4696</v>
      </c>
      <c r="O55" s="1">
        <v>8129005782</v>
      </c>
      <c r="P55" s="9"/>
      <c r="Q55" s="1" t="s">
        <v>4697</v>
      </c>
      <c r="R55" s="1" t="s">
        <v>4698</v>
      </c>
      <c r="S55" s="1">
        <v>8110565887</v>
      </c>
      <c r="T55" s="11" t="s">
        <v>4699</v>
      </c>
      <c r="U55" s="1">
        <v>8110565887</v>
      </c>
      <c r="V55" s="9"/>
      <c r="W55" s="1"/>
      <c r="X55" s="1"/>
      <c r="Y55" s="1"/>
      <c r="Z55" s="1"/>
      <c r="AA55" s="1"/>
      <c r="AB55" s="9"/>
      <c r="AC55" s="1"/>
      <c r="AD55" s="1"/>
      <c r="AE55" s="1"/>
      <c r="AF55" s="1"/>
      <c r="AG55" s="1"/>
      <c r="AI55" s="11" t="s">
        <v>4700</v>
      </c>
    </row>
    <row r="56" spans="1:35" x14ac:dyDescent="0.25">
      <c r="A56" s="1" t="s">
        <v>4526</v>
      </c>
      <c r="B56" s="18" t="s">
        <v>4857</v>
      </c>
      <c r="C56" s="1" t="s">
        <v>4490</v>
      </c>
      <c r="D56" s="1" t="s">
        <v>4701</v>
      </c>
      <c r="E56" s="1" t="s">
        <v>4702</v>
      </c>
      <c r="F56" s="1" t="s">
        <v>4863</v>
      </c>
      <c r="G56" s="1" t="s">
        <v>4873</v>
      </c>
      <c r="H56" s="1" t="s">
        <v>4869</v>
      </c>
      <c r="I56" s="1" t="s">
        <v>4918</v>
      </c>
      <c r="J56" s="1" t="s">
        <v>4896</v>
      </c>
      <c r="K56" s="1" t="s">
        <v>4911</v>
      </c>
      <c r="L56" s="1" t="s">
        <v>1427</v>
      </c>
      <c r="M56" s="1">
        <v>8117991575</v>
      </c>
      <c r="N56" s="11" t="s">
        <v>4703</v>
      </c>
      <c r="O56" s="1">
        <v>8117991575</v>
      </c>
      <c r="P56" s="9"/>
      <c r="Q56" s="1" t="s">
        <v>4702</v>
      </c>
      <c r="R56" s="1" t="s">
        <v>1427</v>
      </c>
      <c r="S56" s="1">
        <v>8117991575</v>
      </c>
      <c r="T56" s="11" t="s">
        <v>4703</v>
      </c>
      <c r="U56" s="1">
        <v>8117991575</v>
      </c>
      <c r="V56" s="9"/>
      <c r="W56" s="1"/>
      <c r="X56" s="1"/>
      <c r="Y56" s="1"/>
      <c r="Z56" s="1"/>
      <c r="AA56" s="1"/>
      <c r="AB56" s="9"/>
      <c r="AC56" s="1"/>
      <c r="AD56" s="1"/>
      <c r="AE56" s="1"/>
      <c r="AF56" s="1"/>
      <c r="AG56" s="1"/>
      <c r="AI56" s="11" t="s">
        <v>4704</v>
      </c>
    </row>
    <row r="57" spans="1:35" x14ac:dyDescent="0.25">
      <c r="A57" s="1" t="s">
        <v>4527</v>
      </c>
      <c r="B57" s="18" t="s">
        <v>4023</v>
      </c>
      <c r="C57" s="1" t="s">
        <v>4706</v>
      </c>
      <c r="D57" s="1" t="s">
        <v>4705</v>
      </c>
      <c r="E57" s="1" t="s">
        <v>2265</v>
      </c>
      <c r="F57" s="1" t="s">
        <v>4863</v>
      </c>
      <c r="G57" s="1" t="s">
        <v>4874</v>
      </c>
      <c r="H57" s="1" t="s">
        <v>4869</v>
      </c>
      <c r="I57" s="1" t="s">
        <v>5013</v>
      </c>
      <c r="J57" s="1" t="s">
        <v>4896</v>
      </c>
      <c r="K57" s="1" t="s">
        <v>4932</v>
      </c>
      <c r="L57" s="1" t="s">
        <v>4707</v>
      </c>
      <c r="M57" s="1">
        <v>8120933415</v>
      </c>
      <c r="N57" s="11" t="s">
        <v>2267</v>
      </c>
      <c r="O57" s="1">
        <v>8120933415</v>
      </c>
      <c r="P57" s="9"/>
      <c r="Q57" s="1" t="s">
        <v>2265</v>
      </c>
      <c r="R57" s="1" t="s">
        <v>4707</v>
      </c>
      <c r="S57" s="1">
        <v>8120933415</v>
      </c>
      <c r="T57" s="11" t="s">
        <v>2267</v>
      </c>
      <c r="U57" s="1">
        <v>8120933415</v>
      </c>
      <c r="V57" s="9"/>
      <c r="W57" s="1"/>
      <c r="X57" s="1"/>
      <c r="Y57" s="1"/>
      <c r="Z57" s="1"/>
      <c r="AA57" s="1"/>
      <c r="AB57" s="9"/>
      <c r="AC57" s="1"/>
      <c r="AD57" s="1"/>
      <c r="AE57" s="1"/>
      <c r="AF57" s="1"/>
      <c r="AG57" s="1"/>
      <c r="AI57" s="11" t="s">
        <v>4708</v>
      </c>
    </row>
    <row r="58" spans="1:35" x14ac:dyDescent="0.25">
      <c r="A58" s="1" t="s">
        <v>4548</v>
      </c>
      <c r="B58" s="1"/>
      <c r="C58" s="1" t="s">
        <v>4490</v>
      </c>
      <c r="D58" s="1" t="s">
        <v>4709</v>
      </c>
      <c r="E58" s="1" t="s">
        <v>4710</v>
      </c>
      <c r="F58" s="1" t="s">
        <v>4865</v>
      </c>
      <c r="G58" s="1" t="s">
        <v>4873</v>
      </c>
      <c r="H58" s="1" t="s">
        <v>4869</v>
      </c>
      <c r="I58" s="1" t="s">
        <v>4926</v>
      </c>
      <c r="J58" s="1" t="s">
        <v>4896</v>
      </c>
      <c r="K58" s="1" t="s">
        <v>4928</v>
      </c>
      <c r="L58" s="1" t="s">
        <v>1482</v>
      </c>
      <c r="M58" s="1">
        <v>8112592475</v>
      </c>
      <c r="N58" s="11" t="s">
        <v>4711</v>
      </c>
      <c r="O58" s="1">
        <v>8112592475</v>
      </c>
      <c r="P58" s="9"/>
      <c r="Q58" s="1" t="s">
        <v>4712</v>
      </c>
      <c r="R58" s="1" t="s">
        <v>1482</v>
      </c>
      <c r="S58" s="1">
        <v>8180210136</v>
      </c>
      <c r="T58" s="11" t="s">
        <v>4713</v>
      </c>
      <c r="U58" s="1">
        <v>8180210136</v>
      </c>
      <c r="V58" s="9"/>
      <c r="W58" s="1" t="s">
        <v>4710</v>
      </c>
      <c r="X58" s="1" t="s">
        <v>1482</v>
      </c>
      <c r="Y58" s="1">
        <v>8112592475</v>
      </c>
      <c r="Z58" s="11" t="s">
        <v>4711</v>
      </c>
      <c r="AA58" s="1">
        <v>8112592475</v>
      </c>
      <c r="AB58" s="9"/>
      <c r="AC58" s="1"/>
      <c r="AD58" s="1"/>
      <c r="AE58" s="1"/>
      <c r="AF58" s="1"/>
      <c r="AG58" s="1"/>
      <c r="AI58" s="11" t="s">
        <v>4714</v>
      </c>
    </row>
    <row r="59" spans="1:35" x14ac:dyDescent="0.25">
      <c r="A59" s="1" t="s">
        <v>4691</v>
      </c>
      <c r="B59" s="18" t="s">
        <v>5203</v>
      </c>
      <c r="C59" s="1" t="s">
        <v>5202</v>
      </c>
      <c r="D59" s="1" t="s">
        <v>5201</v>
      </c>
      <c r="E59" s="1" t="s">
        <v>5204</v>
      </c>
      <c r="F59" s="1" t="s">
        <v>4866</v>
      </c>
      <c r="G59" s="1" t="s">
        <v>4874</v>
      </c>
      <c r="H59" s="1" t="s">
        <v>4869</v>
      </c>
      <c r="I59" t="s">
        <v>5258</v>
      </c>
      <c r="J59" s="1" t="s">
        <v>4896</v>
      </c>
      <c r="K59" s="1" t="s">
        <v>4911</v>
      </c>
      <c r="L59" s="1" t="s">
        <v>5205</v>
      </c>
      <c r="M59" s="1" t="s">
        <v>5206</v>
      </c>
      <c r="N59" s="11" t="s">
        <v>5207</v>
      </c>
      <c r="O59" s="1">
        <v>8110272516</v>
      </c>
      <c r="P59" s="9"/>
      <c r="Q59" s="1" t="s">
        <v>5204</v>
      </c>
      <c r="R59" s="1" t="s">
        <v>5205</v>
      </c>
      <c r="S59" s="1" t="s">
        <v>5206</v>
      </c>
      <c r="T59" s="11" t="s">
        <v>5207</v>
      </c>
      <c r="U59" s="1">
        <v>8110272516</v>
      </c>
      <c r="V59" s="9"/>
      <c r="W59" s="1"/>
      <c r="X59" s="1"/>
      <c r="Y59" s="1"/>
      <c r="Z59" s="1"/>
      <c r="AA59" s="1"/>
      <c r="AB59" s="9"/>
      <c r="AC59" s="1"/>
      <c r="AD59" s="1"/>
      <c r="AE59" s="1"/>
      <c r="AF59" s="1"/>
      <c r="AG59" s="1"/>
      <c r="AI59" s="11" t="s">
        <v>5208</v>
      </c>
    </row>
    <row r="60" spans="1:35" x14ac:dyDescent="0.25">
      <c r="A60" s="1" t="s">
        <v>4692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9"/>
      <c r="Q60" s="1"/>
      <c r="R60" s="1"/>
      <c r="S60" s="1"/>
      <c r="T60" s="1"/>
      <c r="U60" s="1"/>
      <c r="V60" s="9"/>
      <c r="W60" s="1"/>
      <c r="X60" s="1"/>
      <c r="Y60" s="1"/>
      <c r="Z60" s="1"/>
      <c r="AA60" s="1"/>
      <c r="AB60" s="9"/>
      <c r="AC60" s="1"/>
      <c r="AD60" s="1"/>
      <c r="AE60" s="1"/>
      <c r="AF60" s="1"/>
      <c r="AG60" s="1"/>
      <c r="AI60" s="1"/>
    </row>
    <row r="61" spans="1:35" x14ac:dyDescent="0.25">
      <c r="A61" s="1" t="s">
        <v>4693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9"/>
      <c r="Q61" s="1"/>
      <c r="R61" s="1"/>
      <c r="S61" s="1"/>
      <c r="T61" s="1"/>
      <c r="U61" s="1"/>
      <c r="V61" s="9"/>
      <c r="W61" s="1"/>
      <c r="X61" s="1"/>
      <c r="Y61" s="1"/>
      <c r="Z61" s="1"/>
      <c r="AA61" s="1"/>
      <c r="AB61" s="9"/>
      <c r="AC61" s="1"/>
      <c r="AD61" s="1"/>
      <c r="AE61" s="1"/>
      <c r="AF61" s="1"/>
      <c r="AG61" s="1"/>
      <c r="AI61" s="1"/>
    </row>
    <row r="62" spans="1:35" x14ac:dyDescent="0.25">
      <c r="A62" s="16" t="s">
        <v>5295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9"/>
      <c r="Q62" s="16"/>
      <c r="R62" s="16"/>
      <c r="S62" s="16"/>
      <c r="T62" s="16"/>
      <c r="U62" s="16"/>
      <c r="V62" s="9"/>
      <c r="W62" s="16"/>
      <c r="X62" s="16"/>
      <c r="Y62" s="16"/>
      <c r="Z62" s="16"/>
      <c r="AA62" s="16"/>
      <c r="AB62" s="9"/>
      <c r="AC62" s="16"/>
      <c r="AD62" s="16"/>
      <c r="AE62" s="16"/>
      <c r="AF62" s="16"/>
      <c r="AG62" s="16"/>
      <c r="AI62" s="16">
        <f>SUBTOTAL(103,Tabla6[ARCHIVO])</f>
        <v>58</v>
      </c>
    </row>
    <row r="63" spans="1:35" x14ac:dyDescent="0.25">
      <c r="F63" t="s">
        <v>4910</v>
      </c>
    </row>
  </sheetData>
  <hyperlinks>
    <hyperlink ref="T2" r:id="rId1" xr:uid="{00000000-0004-0000-0300-000000000000}"/>
    <hyperlink ref="AI2" r:id="rId2" xr:uid="{00000000-0004-0000-0300-000001000000}"/>
    <hyperlink ref="N3" r:id="rId3" xr:uid="{00000000-0004-0000-0300-000002000000}"/>
    <hyperlink ref="T3" r:id="rId4" xr:uid="{00000000-0004-0000-0300-000003000000}"/>
    <hyperlink ref="AI3" r:id="rId5" xr:uid="{00000000-0004-0000-0300-000004000000}"/>
    <hyperlink ref="N4" r:id="rId6" xr:uid="{00000000-0004-0000-0300-000005000000}"/>
    <hyperlink ref="T4" r:id="rId7" xr:uid="{00000000-0004-0000-0300-000006000000}"/>
    <hyperlink ref="Z4" r:id="rId8" xr:uid="{00000000-0004-0000-0300-000007000000}"/>
    <hyperlink ref="AI4" r:id="rId9" xr:uid="{00000000-0004-0000-0300-000008000000}"/>
    <hyperlink ref="N5" r:id="rId10" xr:uid="{00000000-0004-0000-0300-000009000000}"/>
    <hyperlink ref="T5" r:id="rId11" xr:uid="{00000000-0004-0000-0300-00000A000000}"/>
    <hyperlink ref="Z5" r:id="rId12" xr:uid="{00000000-0004-0000-0300-00000B000000}"/>
    <hyperlink ref="AF5" r:id="rId13" xr:uid="{00000000-0004-0000-0300-00000C000000}"/>
    <hyperlink ref="N6" r:id="rId14" xr:uid="{00000000-0004-0000-0300-00000D000000}"/>
    <hyperlink ref="T6" r:id="rId15" xr:uid="{00000000-0004-0000-0300-00000E000000}"/>
    <hyperlink ref="N7" r:id="rId16" xr:uid="{00000000-0004-0000-0300-00000F000000}"/>
    <hyperlink ref="Z7" r:id="rId17" xr:uid="{00000000-0004-0000-0300-000010000000}"/>
    <hyperlink ref="T7" r:id="rId18" xr:uid="{00000000-0004-0000-0300-000011000000}"/>
    <hyperlink ref="AI7" r:id="rId19" xr:uid="{00000000-0004-0000-0300-000012000000}"/>
    <hyperlink ref="AI5" r:id="rId20" xr:uid="{00000000-0004-0000-0300-000013000000}"/>
    <hyperlink ref="AI6" r:id="rId21" xr:uid="{00000000-0004-0000-0300-000014000000}"/>
    <hyperlink ref="Z8" r:id="rId22" display="diana.ayala@cfe.mx" xr:uid="{00000000-0004-0000-0300-000015000000}"/>
    <hyperlink ref="N9" r:id="rId23" xr:uid="{00000000-0004-0000-0300-000016000000}"/>
    <hyperlink ref="T9" r:id="rId24" xr:uid="{00000000-0004-0000-0300-000017000000}"/>
    <hyperlink ref="Z9" r:id="rId25" xr:uid="{00000000-0004-0000-0300-000018000000}"/>
    <hyperlink ref="AF9" r:id="rId26" xr:uid="{00000000-0004-0000-0300-000019000000}"/>
    <hyperlink ref="AI9" r:id="rId27" xr:uid="{00000000-0004-0000-0300-00001A000000}"/>
    <hyperlink ref="AI8" r:id="rId28" xr:uid="{00000000-0004-0000-0300-00001B000000}"/>
    <hyperlink ref="T10" r:id="rId29" xr:uid="{00000000-0004-0000-0300-00001C000000}"/>
    <hyperlink ref="Z10" r:id="rId30" xr:uid="{00000000-0004-0000-0300-00001D000000}"/>
    <hyperlink ref="AI10" r:id="rId31" xr:uid="{00000000-0004-0000-0300-00001E000000}"/>
    <hyperlink ref="N11" r:id="rId32" xr:uid="{00000000-0004-0000-0300-00001F000000}"/>
    <hyperlink ref="T11" r:id="rId33" xr:uid="{00000000-0004-0000-0300-000020000000}"/>
    <hyperlink ref="Z11" r:id="rId34" xr:uid="{00000000-0004-0000-0300-000021000000}"/>
    <hyperlink ref="AI11" r:id="rId35" xr:uid="{00000000-0004-0000-0300-000022000000}"/>
    <hyperlink ref="N12" r:id="rId36" xr:uid="{00000000-0004-0000-0300-000023000000}"/>
    <hyperlink ref="T12" r:id="rId37" xr:uid="{00000000-0004-0000-0300-000024000000}"/>
    <hyperlink ref="AI12" r:id="rId38" xr:uid="{00000000-0004-0000-0300-000025000000}"/>
    <hyperlink ref="T13" r:id="rId39" xr:uid="{00000000-0004-0000-0300-000026000000}"/>
    <hyperlink ref="N14" r:id="rId40" xr:uid="{00000000-0004-0000-0300-000027000000}"/>
    <hyperlink ref="N15" r:id="rId41" xr:uid="{00000000-0004-0000-0300-000028000000}"/>
    <hyperlink ref="T15" r:id="rId42" xr:uid="{00000000-0004-0000-0300-000029000000}"/>
    <hyperlink ref="Z15" r:id="rId43" xr:uid="{00000000-0004-0000-0300-00002A000000}"/>
    <hyperlink ref="AI15" r:id="rId44" xr:uid="{00000000-0004-0000-0300-00002B000000}"/>
    <hyperlink ref="AI13" r:id="rId45" xr:uid="{00000000-0004-0000-0300-00002C000000}"/>
    <hyperlink ref="AI14" r:id="rId46" xr:uid="{00000000-0004-0000-0300-00002D000000}"/>
    <hyperlink ref="N16" r:id="rId47" xr:uid="{00000000-0004-0000-0300-00002E000000}"/>
    <hyperlink ref="AI16" r:id="rId48" xr:uid="{00000000-0004-0000-0300-00002F000000}"/>
    <hyperlink ref="N17" r:id="rId49" xr:uid="{00000000-0004-0000-0300-000030000000}"/>
    <hyperlink ref="T17" r:id="rId50" xr:uid="{00000000-0004-0000-0300-000031000000}"/>
    <hyperlink ref="AI17" r:id="rId51" xr:uid="{00000000-0004-0000-0300-000032000000}"/>
    <hyperlink ref="N18" r:id="rId52" xr:uid="{00000000-0004-0000-0300-000033000000}"/>
    <hyperlink ref="AI18" r:id="rId53" xr:uid="{00000000-0004-0000-0300-000034000000}"/>
    <hyperlink ref="N19" r:id="rId54" xr:uid="{00000000-0004-0000-0300-000035000000}"/>
    <hyperlink ref="T19" r:id="rId55" xr:uid="{00000000-0004-0000-0300-000036000000}"/>
    <hyperlink ref="Z19" r:id="rId56" xr:uid="{00000000-0004-0000-0300-000037000000}"/>
    <hyperlink ref="AF19" r:id="rId57" xr:uid="{00000000-0004-0000-0300-000038000000}"/>
    <hyperlink ref="AI19" r:id="rId58" xr:uid="{00000000-0004-0000-0300-000039000000}"/>
    <hyperlink ref="N20" r:id="rId59" xr:uid="{00000000-0004-0000-0300-00003A000000}"/>
    <hyperlink ref="AI20" r:id="rId60" xr:uid="{00000000-0004-0000-0300-00003B000000}"/>
    <hyperlink ref="N21" r:id="rId61" xr:uid="{00000000-0004-0000-0300-00003C000000}"/>
    <hyperlink ref="T21" r:id="rId62" xr:uid="{00000000-0004-0000-0300-00003D000000}"/>
    <hyperlink ref="AI21" r:id="rId63" xr:uid="{00000000-0004-0000-0300-00003E000000}"/>
    <hyperlink ref="N22" r:id="rId64" xr:uid="{00000000-0004-0000-0300-00003F000000}"/>
    <hyperlink ref="T22" r:id="rId65" xr:uid="{00000000-0004-0000-0300-000040000000}"/>
    <hyperlink ref="AI22" r:id="rId66" xr:uid="{00000000-0004-0000-0300-000041000000}"/>
    <hyperlink ref="N23" r:id="rId67" xr:uid="{00000000-0004-0000-0300-000042000000}"/>
    <hyperlink ref="AI23" r:id="rId68" xr:uid="{00000000-0004-0000-0300-000043000000}"/>
    <hyperlink ref="T24" r:id="rId69" xr:uid="{00000000-0004-0000-0300-000044000000}"/>
    <hyperlink ref="AI24" r:id="rId70" xr:uid="{00000000-0004-0000-0300-000045000000}"/>
    <hyperlink ref="N25" r:id="rId71" xr:uid="{00000000-0004-0000-0300-000046000000}"/>
    <hyperlink ref="AI25" r:id="rId72" xr:uid="{00000000-0004-0000-0300-000047000000}"/>
    <hyperlink ref="N26" r:id="rId73" xr:uid="{00000000-0004-0000-0300-000048000000}"/>
    <hyperlink ref="Z26" r:id="rId74" xr:uid="{00000000-0004-0000-0300-000049000000}"/>
    <hyperlink ref="T26" r:id="rId75" xr:uid="{00000000-0004-0000-0300-00004A000000}"/>
    <hyperlink ref="AF26" r:id="rId76" xr:uid="{00000000-0004-0000-0300-00004B000000}"/>
    <hyperlink ref="AI26" r:id="rId77" xr:uid="{00000000-0004-0000-0300-00004C000000}"/>
    <hyperlink ref="N27" r:id="rId78" xr:uid="{00000000-0004-0000-0300-00004D000000}"/>
    <hyperlink ref="AI27" r:id="rId79" xr:uid="{00000000-0004-0000-0300-00004E000000}"/>
    <hyperlink ref="N28" r:id="rId80" xr:uid="{00000000-0004-0000-0300-00004F000000}"/>
    <hyperlink ref="T28" r:id="rId81" xr:uid="{00000000-0004-0000-0300-000050000000}"/>
    <hyperlink ref="AI28" r:id="rId82" xr:uid="{00000000-0004-0000-0300-000051000000}"/>
    <hyperlink ref="N29" r:id="rId83" xr:uid="{00000000-0004-0000-0300-000052000000}"/>
    <hyperlink ref="T29" r:id="rId84" xr:uid="{00000000-0004-0000-0300-000053000000}"/>
    <hyperlink ref="Z29" r:id="rId85" xr:uid="{00000000-0004-0000-0300-000054000000}"/>
    <hyperlink ref="AI29" r:id="rId86" xr:uid="{00000000-0004-0000-0300-000055000000}"/>
    <hyperlink ref="N30" r:id="rId87" xr:uid="{00000000-0004-0000-0300-000056000000}"/>
    <hyperlink ref="T30" r:id="rId88" xr:uid="{00000000-0004-0000-0300-000057000000}"/>
    <hyperlink ref="AF30" r:id="rId89" xr:uid="{00000000-0004-0000-0300-000058000000}"/>
    <hyperlink ref="AI30" r:id="rId90" xr:uid="{00000000-0004-0000-0300-000059000000}"/>
    <hyperlink ref="N31" r:id="rId91" xr:uid="{00000000-0004-0000-0300-00005A000000}"/>
    <hyperlink ref="T31" r:id="rId92" xr:uid="{00000000-0004-0000-0300-00005B000000}"/>
    <hyperlink ref="Z30" r:id="rId93" xr:uid="{00000000-0004-0000-0300-00005C000000}"/>
    <hyperlink ref="Z31" r:id="rId94" xr:uid="{00000000-0004-0000-0300-00005D000000}"/>
    <hyperlink ref="AF31" r:id="rId95" xr:uid="{00000000-0004-0000-0300-00005E000000}"/>
    <hyperlink ref="AI31" r:id="rId96" xr:uid="{00000000-0004-0000-0300-00005F000000}"/>
    <hyperlink ref="N32" r:id="rId97" xr:uid="{00000000-0004-0000-0300-000060000000}"/>
    <hyperlink ref="T32" r:id="rId98" xr:uid="{00000000-0004-0000-0300-000061000000}"/>
    <hyperlink ref="Z32" r:id="rId99" xr:uid="{00000000-0004-0000-0300-000062000000}"/>
    <hyperlink ref="AF32" r:id="rId100" xr:uid="{00000000-0004-0000-0300-000063000000}"/>
    <hyperlink ref="N33" r:id="rId101" xr:uid="{00000000-0004-0000-0300-000064000000}"/>
    <hyperlink ref="T33" r:id="rId102" xr:uid="{00000000-0004-0000-0300-000065000000}"/>
    <hyperlink ref="Z33" r:id="rId103" xr:uid="{00000000-0004-0000-0300-000066000000}"/>
    <hyperlink ref="AF33" r:id="rId104" xr:uid="{00000000-0004-0000-0300-000067000000}"/>
    <hyperlink ref="N34" r:id="rId105" xr:uid="{00000000-0004-0000-0300-000068000000}"/>
    <hyperlink ref="T34" r:id="rId106" xr:uid="{00000000-0004-0000-0300-000069000000}"/>
    <hyperlink ref="Z34" r:id="rId107" xr:uid="{00000000-0004-0000-0300-00006A000000}"/>
    <hyperlink ref="AF34" r:id="rId108" xr:uid="{00000000-0004-0000-0300-00006B000000}"/>
    <hyperlink ref="N35" r:id="rId109" xr:uid="{00000000-0004-0000-0300-00006C000000}"/>
    <hyperlink ref="T35" r:id="rId110" xr:uid="{00000000-0004-0000-0300-00006D000000}"/>
    <hyperlink ref="Z35" r:id="rId111" xr:uid="{00000000-0004-0000-0300-00006E000000}"/>
    <hyperlink ref="Z36" r:id="rId112" xr:uid="{00000000-0004-0000-0300-00006F000000}"/>
    <hyperlink ref="N36" r:id="rId113" xr:uid="{00000000-0004-0000-0300-000070000000}"/>
    <hyperlink ref="T36" r:id="rId114" xr:uid="{00000000-0004-0000-0300-000071000000}"/>
    <hyperlink ref="N37" r:id="rId115" xr:uid="{00000000-0004-0000-0300-000072000000}"/>
    <hyperlink ref="T37" r:id="rId116" xr:uid="{00000000-0004-0000-0300-000073000000}"/>
    <hyperlink ref="Z37" r:id="rId117" xr:uid="{00000000-0004-0000-0300-000074000000}"/>
    <hyperlink ref="T38" r:id="rId118" xr:uid="{00000000-0004-0000-0300-000075000000}"/>
    <hyperlink ref="Z38" r:id="rId119" xr:uid="{00000000-0004-0000-0300-000076000000}"/>
    <hyperlink ref="N39" r:id="rId120" xr:uid="{00000000-0004-0000-0300-000077000000}"/>
    <hyperlink ref="T39" r:id="rId121" xr:uid="{00000000-0004-0000-0300-000078000000}"/>
    <hyperlink ref="AI39" r:id="rId122" xr:uid="{00000000-0004-0000-0300-000079000000}"/>
    <hyperlink ref="N40" r:id="rId123" xr:uid="{00000000-0004-0000-0300-00007A000000}"/>
    <hyperlink ref="T40" r:id="rId124" xr:uid="{00000000-0004-0000-0300-00007B000000}"/>
    <hyperlink ref="AI40" r:id="rId125" xr:uid="{00000000-0004-0000-0300-00007C000000}"/>
    <hyperlink ref="T41" r:id="rId126" xr:uid="{00000000-0004-0000-0300-00007D000000}"/>
    <hyperlink ref="Z41" r:id="rId127" xr:uid="{00000000-0004-0000-0300-00007E000000}"/>
    <hyperlink ref="AF41" r:id="rId128" xr:uid="{00000000-0004-0000-0300-00007F000000}"/>
    <hyperlink ref="AI41" r:id="rId129" xr:uid="{00000000-0004-0000-0300-000080000000}"/>
    <hyperlink ref="T42" r:id="rId130" xr:uid="{00000000-0004-0000-0300-000081000000}"/>
    <hyperlink ref="Z42" r:id="rId131" xr:uid="{00000000-0004-0000-0300-000082000000}"/>
    <hyperlink ref="AI42" r:id="rId132" xr:uid="{00000000-0004-0000-0300-000083000000}"/>
    <hyperlink ref="N43" r:id="rId133" xr:uid="{00000000-0004-0000-0300-000084000000}"/>
    <hyperlink ref="Z43" r:id="rId134" xr:uid="{00000000-0004-0000-0300-000085000000}"/>
    <hyperlink ref="T43" r:id="rId135" xr:uid="{00000000-0004-0000-0300-000086000000}"/>
    <hyperlink ref="AI43" r:id="rId136" xr:uid="{00000000-0004-0000-0300-000087000000}"/>
    <hyperlink ref="AI32" r:id="rId137" xr:uid="{00000000-0004-0000-0300-000088000000}"/>
    <hyperlink ref="AI33" r:id="rId138" xr:uid="{00000000-0004-0000-0300-000089000000}"/>
    <hyperlink ref="AI34" r:id="rId139" xr:uid="{00000000-0004-0000-0300-00008A000000}"/>
    <hyperlink ref="AI35" r:id="rId140" xr:uid="{00000000-0004-0000-0300-00008B000000}"/>
    <hyperlink ref="AI36" r:id="rId141" xr:uid="{00000000-0004-0000-0300-00008C000000}"/>
    <hyperlink ref="AI37" r:id="rId142" xr:uid="{00000000-0004-0000-0300-00008D000000}"/>
    <hyperlink ref="AI38" r:id="rId143" xr:uid="{00000000-0004-0000-0300-00008E000000}"/>
    <hyperlink ref="N38" r:id="rId144" xr:uid="{00000000-0004-0000-0300-00008F000000}"/>
    <hyperlink ref="T14" r:id="rId145" xr:uid="{00000000-0004-0000-0300-000090000000}"/>
    <hyperlink ref="T16" r:id="rId146" xr:uid="{00000000-0004-0000-0300-000091000000}"/>
    <hyperlink ref="T18" r:id="rId147" xr:uid="{00000000-0004-0000-0300-000092000000}"/>
    <hyperlink ref="T20" r:id="rId148" xr:uid="{00000000-0004-0000-0300-000093000000}"/>
    <hyperlink ref="T23" r:id="rId149" xr:uid="{00000000-0004-0000-0300-000094000000}"/>
    <hyperlink ref="T25" r:id="rId150" xr:uid="{00000000-0004-0000-0300-000095000000}"/>
    <hyperlink ref="T27" r:id="rId151" xr:uid="{00000000-0004-0000-0300-000096000000}"/>
    <hyperlink ref="T44" r:id="rId152" xr:uid="{00000000-0004-0000-0300-000097000000}"/>
    <hyperlink ref="Z44" r:id="rId153" xr:uid="{00000000-0004-0000-0300-000098000000}"/>
    <hyperlink ref="AI44" r:id="rId154" xr:uid="{00000000-0004-0000-0300-000099000000}"/>
    <hyperlink ref="N45" r:id="rId155" xr:uid="{00000000-0004-0000-0300-00009A000000}"/>
    <hyperlink ref="T45" r:id="rId156" xr:uid="{00000000-0004-0000-0300-00009B000000}"/>
    <hyperlink ref="Z45" r:id="rId157" xr:uid="{00000000-0004-0000-0300-00009C000000}"/>
    <hyperlink ref="AF45" r:id="rId158" xr:uid="{00000000-0004-0000-0300-00009D000000}"/>
    <hyperlink ref="AI45" r:id="rId159" xr:uid="{00000000-0004-0000-0300-00009E000000}"/>
    <hyperlink ref="N46" r:id="rId160" xr:uid="{00000000-0004-0000-0300-00009F000000}"/>
    <hyperlink ref="Z46" r:id="rId161" xr:uid="{00000000-0004-0000-0300-0000A0000000}"/>
    <hyperlink ref="T46" r:id="rId162" xr:uid="{00000000-0004-0000-0300-0000A1000000}"/>
    <hyperlink ref="AI46" r:id="rId163" xr:uid="{00000000-0004-0000-0300-0000A2000000}"/>
    <hyperlink ref="T47" r:id="rId164" xr:uid="{00000000-0004-0000-0300-0000A3000000}"/>
    <hyperlink ref="AI47" r:id="rId165" xr:uid="{00000000-0004-0000-0300-0000A4000000}"/>
    <hyperlink ref="N48" r:id="rId166" xr:uid="{00000000-0004-0000-0300-0000A5000000}"/>
    <hyperlink ref="T48" r:id="rId167" xr:uid="{00000000-0004-0000-0300-0000A6000000}"/>
    <hyperlink ref="AI48" r:id="rId168" xr:uid="{00000000-0004-0000-0300-0000A7000000}"/>
    <hyperlink ref="N49" r:id="rId169" xr:uid="{00000000-0004-0000-0300-0000A8000000}"/>
    <hyperlink ref="T49" r:id="rId170" xr:uid="{00000000-0004-0000-0300-0000A9000000}"/>
    <hyperlink ref="Z49" r:id="rId171" xr:uid="{00000000-0004-0000-0300-0000AA000000}"/>
    <hyperlink ref="AI49" r:id="rId172" xr:uid="{00000000-0004-0000-0300-0000AB000000}"/>
    <hyperlink ref="N50" r:id="rId173" xr:uid="{00000000-0004-0000-0300-0000AC000000}"/>
    <hyperlink ref="T50" r:id="rId174" xr:uid="{00000000-0004-0000-0300-0000AD000000}"/>
    <hyperlink ref="AI50" r:id="rId175" xr:uid="{00000000-0004-0000-0300-0000AE000000}"/>
    <hyperlink ref="T51" r:id="rId176" xr:uid="{00000000-0004-0000-0300-0000AF000000}"/>
    <hyperlink ref="N51" r:id="rId177" xr:uid="{00000000-0004-0000-0300-0000B0000000}"/>
    <hyperlink ref="Z51" r:id="rId178" xr:uid="{00000000-0004-0000-0300-0000B1000000}"/>
    <hyperlink ref="AF51" r:id="rId179" xr:uid="{00000000-0004-0000-0300-0000B2000000}"/>
    <hyperlink ref="AI51" r:id="rId180" xr:uid="{00000000-0004-0000-0300-0000B3000000}"/>
    <hyperlink ref="N52" r:id="rId181" xr:uid="{00000000-0004-0000-0300-0000B4000000}"/>
    <hyperlink ref="T52" r:id="rId182" xr:uid="{00000000-0004-0000-0300-0000B5000000}"/>
    <hyperlink ref="Z52" r:id="rId183" xr:uid="{00000000-0004-0000-0300-0000B6000000}"/>
    <hyperlink ref="AF52" r:id="rId184" xr:uid="{00000000-0004-0000-0300-0000B7000000}"/>
    <hyperlink ref="AI52" r:id="rId185" xr:uid="{00000000-0004-0000-0300-0000B8000000}"/>
    <hyperlink ref="N53" r:id="rId186" xr:uid="{00000000-0004-0000-0300-0000B9000000}"/>
    <hyperlink ref="AF53" r:id="rId187" xr:uid="{00000000-0004-0000-0300-0000BA000000}"/>
    <hyperlink ref="T53" r:id="rId188" xr:uid="{00000000-0004-0000-0300-0000BB000000}"/>
    <hyperlink ref="Z53" r:id="rId189" xr:uid="{00000000-0004-0000-0300-0000BC000000}"/>
    <hyperlink ref="AI53" r:id="rId190" xr:uid="{00000000-0004-0000-0300-0000BD000000}"/>
    <hyperlink ref="T54" r:id="rId191" xr:uid="{00000000-0004-0000-0300-0000BE000000}"/>
    <hyperlink ref="Z54" r:id="rId192" xr:uid="{00000000-0004-0000-0300-0000BF000000}"/>
    <hyperlink ref="AI54" r:id="rId193" xr:uid="{00000000-0004-0000-0300-0000C0000000}"/>
    <hyperlink ref="N55" r:id="rId194" xr:uid="{00000000-0004-0000-0300-0000C1000000}"/>
    <hyperlink ref="T55" r:id="rId195" xr:uid="{00000000-0004-0000-0300-0000C2000000}"/>
    <hyperlink ref="AI55" r:id="rId196" xr:uid="{00000000-0004-0000-0300-0000C3000000}"/>
    <hyperlink ref="N56" r:id="rId197" xr:uid="{00000000-0004-0000-0300-0000C4000000}"/>
    <hyperlink ref="AI56" r:id="rId198" xr:uid="{00000000-0004-0000-0300-0000C5000000}"/>
    <hyperlink ref="N57" r:id="rId199" xr:uid="{00000000-0004-0000-0300-0000C6000000}"/>
    <hyperlink ref="AI57" r:id="rId200" xr:uid="{00000000-0004-0000-0300-0000C7000000}"/>
    <hyperlink ref="N58" r:id="rId201" xr:uid="{00000000-0004-0000-0300-0000C8000000}"/>
    <hyperlink ref="Z58" r:id="rId202" xr:uid="{00000000-0004-0000-0300-0000C9000000}"/>
    <hyperlink ref="T57" r:id="rId203" xr:uid="{00000000-0004-0000-0300-0000CA000000}"/>
    <hyperlink ref="T56" r:id="rId204" xr:uid="{00000000-0004-0000-0300-0000CB000000}"/>
    <hyperlink ref="T58" r:id="rId205" xr:uid="{00000000-0004-0000-0300-0000CC000000}"/>
    <hyperlink ref="AI58" r:id="rId206" xr:uid="{00000000-0004-0000-0300-0000CD000000}"/>
    <hyperlink ref="N59" r:id="rId207" xr:uid="{00000000-0004-0000-0300-0000CE000000}"/>
    <hyperlink ref="T59" r:id="rId208" xr:uid="{00000000-0004-0000-0300-0000CF000000}"/>
    <hyperlink ref="AI59" r:id="rId209" xr:uid="{00000000-0004-0000-0300-0000D0000000}"/>
  </hyperlinks>
  <pageMargins left="0.7" right="0.7" top="0.75" bottom="0.75" header="0.3" footer="0.3"/>
  <pageSetup paperSize="9" orientation="portrait" r:id="rId210"/>
  <tableParts count="1">
    <tablePart r:id="rId21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DATOS!$B$4:$B$8</xm:f>
          </x14:formula1>
          <xm:sqref>F2:F46 F63 F48:F61</xm:sqref>
        </x14:dataValidation>
        <x14:dataValidation type="list" allowBlank="1" showInputMessage="1" showErrorMessage="1" xr:uid="{00000000-0002-0000-0300-000001000000}">
          <x14:formula1>
            <xm:f>DATOS!$B$20:$B$23</xm:f>
          </x14:formula1>
          <xm:sqref>G2:G61 G63:G1048576</xm:sqref>
        </x14:dataValidation>
        <x14:dataValidation type="list" allowBlank="1" showInputMessage="1" showErrorMessage="1" xr:uid="{00000000-0002-0000-0300-000002000000}">
          <x14:formula1>
            <xm:f>DATOS!$B$13:$B$16</xm:f>
          </x14:formula1>
          <xm:sqref>H2:H61 H63:H1048576</xm:sqref>
        </x14:dataValidation>
        <x14:dataValidation type="list" allowBlank="1" showInputMessage="1" showErrorMessage="1" xr:uid="{00000000-0002-0000-0300-000003000000}">
          <x14:formula1>
            <xm:f>DATOS!$E$7:$E$37</xm:f>
          </x14:formula1>
          <xm:sqref>J2:J61 J63:J1048576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52"/>
  <sheetViews>
    <sheetView zoomScale="90" zoomScaleNormal="90" workbookViewId="0">
      <selection activeCell="D27" sqref="D27"/>
    </sheetView>
  </sheetViews>
  <sheetFormatPr baseColWidth="10" defaultRowHeight="15" x14ac:dyDescent="0.25"/>
  <cols>
    <col min="1" max="1" width="7" customWidth="1"/>
    <col min="2" max="2" width="16.140625" customWidth="1"/>
    <col min="3" max="3" width="22.42578125" bestFit="1" customWidth="1"/>
    <col min="4" max="4" width="44.5703125" bestFit="1" customWidth="1"/>
    <col min="5" max="5" width="55.42578125" customWidth="1"/>
    <col min="6" max="6" width="27.28515625" customWidth="1"/>
    <col min="7" max="7" width="23.42578125" customWidth="1"/>
    <col min="8" max="8" width="13.5703125" customWidth="1"/>
    <col min="9" max="9" width="18.28515625" customWidth="1"/>
    <col min="10" max="10" width="13.5703125" customWidth="1"/>
    <col min="11" max="11" width="21.85546875" bestFit="1" customWidth="1"/>
    <col min="12" max="12" width="46.5703125" bestFit="1" customWidth="1"/>
    <col min="13" max="13" width="30.28515625" customWidth="1"/>
    <col min="14" max="14" width="42.85546875" bestFit="1" customWidth="1"/>
    <col min="15" max="15" width="14.28515625" bestFit="1" customWidth="1"/>
    <col min="16" max="16" width="11" customWidth="1"/>
    <col min="17" max="17" width="43.42578125" customWidth="1"/>
    <col min="18" max="18" width="39.85546875" bestFit="1" customWidth="1"/>
    <col min="19" max="19" width="31.28515625" customWidth="1"/>
    <col min="20" max="20" width="47.85546875" bestFit="1" customWidth="1"/>
    <col min="21" max="21" width="14.28515625" bestFit="1" customWidth="1"/>
    <col min="22" max="22" width="11" customWidth="1"/>
    <col min="23" max="23" width="44.42578125" customWidth="1"/>
    <col min="24" max="24" width="37.85546875" bestFit="1" customWidth="1"/>
    <col min="25" max="25" width="31.28515625" customWidth="1"/>
    <col min="26" max="26" width="39.42578125" bestFit="1" customWidth="1"/>
    <col min="27" max="27" width="13" bestFit="1" customWidth="1"/>
    <col min="28" max="28" width="11.85546875" customWidth="1"/>
    <col min="29" max="29" width="45.42578125" customWidth="1"/>
    <col min="30" max="30" width="42" bestFit="1" customWidth="1"/>
    <col min="31" max="31" width="32.28515625" customWidth="1"/>
    <col min="32" max="32" width="36.5703125" bestFit="1" customWidth="1"/>
    <col min="33" max="33" width="13" bestFit="1" customWidth="1"/>
    <col min="34" max="34" width="11.85546875" customWidth="1"/>
    <col min="35" max="35" width="70.85546875" bestFit="1" customWidth="1"/>
    <col min="36" max="36" width="23.42578125" customWidth="1"/>
    <col min="37" max="37" width="28.5703125" customWidth="1"/>
    <col min="38" max="38" width="21.85546875" customWidth="1"/>
    <col min="39" max="39" width="33.140625" customWidth="1"/>
    <col min="40" max="40" width="13.42578125" customWidth="1"/>
  </cols>
  <sheetData>
    <row r="1" spans="1:40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40" x14ac:dyDescent="0.25">
      <c r="A2" s="1" t="s">
        <v>160</v>
      </c>
      <c r="B2" s="18" t="s">
        <v>2850</v>
      </c>
      <c r="C2" s="1" t="s">
        <v>1451</v>
      </c>
      <c r="D2" s="1" t="s">
        <v>1450</v>
      </c>
      <c r="E2" s="1" t="s">
        <v>1452</v>
      </c>
      <c r="F2" s="1" t="s">
        <v>4863</v>
      </c>
      <c r="G2" s="1" t="s">
        <v>4874</v>
      </c>
      <c r="H2" s="1" t="s">
        <v>4869</v>
      </c>
      <c r="I2" s="1" t="s">
        <v>5010</v>
      </c>
      <c r="J2" s="1" t="s">
        <v>4896</v>
      </c>
      <c r="K2" s="1" t="s">
        <v>4911</v>
      </c>
      <c r="L2" s="1" t="s">
        <v>1453</v>
      </c>
      <c r="M2" s="1" t="s">
        <v>1454</v>
      </c>
      <c r="N2" s="11" t="s">
        <v>1455</v>
      </c>
      <c r="O2" s="1">
        <v>8134052208</v>
      </c>
      <c r="P2" s="9"/>
      <c r="Q2" s="1" t="s">
        <v>1456</v>
      </c>
      <c r="R2" s="1" t="s">
        <v>1457</v>
      </c>
      <c r="S2" s="1" t="s">
        <v>1458</v>
      </c>
      <c r="T2" s="11" t="s">
        <v>1459</v>
      </c>
      <c r="U2" s="1">
        <v>8134052208</v>
      </c>
      <c r="V2" s="9"/>
      <c r="W2" s="1" t="s">
        <v>1460</v>
      </c>
      <c r="X2" s="1" t="s">
        <v>1461</v>
      </c>
      <c r="Y2" s="1" t="s">
        <v>1462</v>
      </c>
      <c r="Z2" s="11" t="s">
        <v>1463</v>
      </c>
      <c r="AA2" s="1">
        <v>8134052208</v>
      </c>
      <c r="AB2" s="9"/>
      <c r="AC2" s="1" t="s">
        <v>1452</v>
      </c>
      <c r="AD2" s="1" t="s">
        <v>1453</v>
      </c>
      <c r="AE2" s="1" t="s">
        <v>1454</v>
      </c>
      <c r="AF2" s="11" t="s">
        <v>1455</v>
      </c>
      <c r="AG2" s="1">
        <v>8134052208</v>
      </c>
      <c r="AI2" s="11" t="s">
        <v>1466</v>
      </c>
    </row>
    <row r="3" spans="1:40" x14ac:dyDescent="0.25">
      <c r="A3" s="1" t="s">
        <v>161</v>
      </c>
      <c r="B3" s="1"/>
      <c r="C3" s="1" t="s">
        <v>1465</v>
      </c>
      <c r="D3" s="1" t="s">
        <v>1464</v>
      </c>
      <c r="E3" s="1" t="s">
        <v>1467</v>
      </c>
      <c r="F3" s="1" t="s">
        <v>4865</v>
      </c>
      <c r="G3" s="1" t="s">
        <v>4874</v>
      </c>
      <c r="H3" s="1" t="s">
        <v>4869</v>
      </c>
      <c r="I3" s="1" t="s">
        <v>4919</v>
      </c>
      <c r="J3" s="1" t="s">
        <v>4896</v>
      </c>
      <c r="K3" s="1" t="s">
        <v>4924</v>
      </c>
      <c r="L3" s="1" t="s">
        <v>1468</v>
      </c>
      <c r="M3" s="1" t="s">
        <v>1469</v>
      </c>
      <c r="N3" s="11" t="s">
        <v>1470</v>
      </c>
      <c r="O3" s="1">
        <v>8114189133</v>
      </c>
      <c r="P3" s="9"/>
      <c r="Q3" s="1" t="s">
        <v>1467</v>
      </c>
      <c r="R3" s="1" t="s">
        <v>1468</v>
      </c>
      <c r="S3" s="1" t="s">
        <v>1469</v>
      </c>
      <c r="T3" s="11" t="s">
        <v>1470</v>
      </c>
      <c r="U3" s="1">
        <v>8114189133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1471</v>
      </c>
    </row>
    <row r="4" spans="1:40" x14ac:dyDescent="0.25">
      <c r="A4" s="1" t="s">
        <v>162</v>
      </c>
      <c r="B4" s="1"/>
      <c r="C4" s="1" t="s">
        <v>1451</v>
      </c>
      <c r="D4" s="1" t="s">
        <v>3460</v>
      </c>
      <c r="E4" s="1" t="s">
        <v>1472</v>
      </c>
      <c r="F4" s="1" t="s">
        <v>4863</v>
      </c>
      <c r="G4" s="1" t="s">
        <v>4872</v>
      </c>
      <c r="H4" s="1" t="s">
        <v>4869</v>
      </c>
      <c r="I4" s="1" t="s">
        <v>5009</v>
      </c>
      <c r="J4" s="1" t="s">
        <v>4896</v>
      </c>
      <c r="K4" s="1" t="s">
        <v>4911</v>
      </c>
      <c r="L4" s="1" t="s">
        <v>1483</v>
      </c>
      <c r="M4" s="1" t="s">
        <v>1483</v>
      </c>
      <c r="N4" s="1" t="s">
        <v>1483</v>
      </c>
      <c r="O4" s="1" t="s">
        <v>1483</v>
      </c>
      <c r="P4" s="9"/>
      <c r="Q4" s="1" t="s">
        <v>1474</v>
      </c>
      <c r="R4" s="1" t="s">
        <v>1473</v>
      </c>
      <c r="S4" s="1">
        <v>8116082947</v>
      </c>
      <c r="T4" s="11" t="s">
        <v>1475</v>
      </c>
      <c r="U4" s="1">
        <v>8116082947</v>
      </c>
      <c r="V4" s="9"/>
      <c r="W4" s="1" t="s">
        <v>1476</v>
      </c>
      <c r="X4" s="1" t="s">
        <v>1477</v>
      </c>
      <c r="Y4" s="1">
        <v>8181113300</v>
      </c>
      <c r="Z4" s="11" t="s">
        <v>1478</v>
      </c>
      <c r="AA4" s="1">
        <v>8128616034</v>
      </c>
      <c r="AB4" s="9"/>
      <c r="AC4" s="1"/>
      <c r="AD4" s="1"/>
      <c r="AE4" s="1"/>
      <c r="AF4" s="1"/>
      <c r="AG4" s="1"/>
      <c r="AI4" s="11" t="s">
        <v>1479</v>
      </c>
    </row>
    <row r="5" spans="1:40" x14ac:dyDescent="0.25">
      <c r="A5" s="1" t="s">
        <v>163</v>
      </c>
      <c r="B5" s="1"/>
      <c r="C5" s="1" t="s">
        <v>1446</v>
      </c>
      <c r="D5" s="1" t="s">
        <v>1480</v>
      </c>
      <c r="E5" s="1" t="s">
        <v>1481</v>
      </c>
      <c r="F5" s="1" t="s">
        <v>4863</v>
      </c>
      <c r="G5" s="1" t="s">
        <v>4873</v>
      </c>
      <c r="H5" s="1" t="s">
        <v>4869</v>
      </c>
      <c r="I5" s="1" t="s">
        <v>4934</v>
      </c>
      <c r="J5" s="1" t="s">
        <v>4896</v>
      </c>
      <c r="K5" s="1" t="s">
        <v>4911</v>
      </c>
      <c r="L5" s="1" t="s">
        <v>1482</v>
      </c>
      <c r="M5" s="1">
        <v>8183426393</v>
      </c>
      <c r="N5" s="11" t="s">
        <v>1484</v>
      </c>
      <c r="O5" s="1">
        <v>8112295893</v>
      </c>
      <c r="P5" s="9"/>
      <c r="Q5" s="1" t="s">
        <v>1481</v>
      </c>
      <c r="R5" s="1" t="s">
        <v>1482</v>
      </c>
      <c r="S5" s="1">
        <v>8183426393</v>
      </c>
      <c r="T5" s="11" t="s">
        <v>1484</v>
      </c>
      <c r="U5" s="1">
        <v>8112295893</v>
      </c>
      <c r="V5" s="9"/>
      <c r="W5" s="1" t="s">
        <v>1485</v>
      </c>
      <c r="X5" s="1" t="s">
        <v>1486</v>
      </c>
      <c r="Y5" s="1">
        <v>8183426393</v>
      </c>
      <c r="Z5" s="11" t="s">
        <v>1487</v>
      </c>
      <c r="AA5" s="1">
        <v>8113012559</v>
      </c>
      <c r="AB5" s="9"/>
      <c r="AC5" s="1"/>
      <c r="AD5" s="1"/>
      <c r="AE5" s="1"/>
      <c r="AF5" s="1"/>
      <c r="AG5" s="1"/>
      <c r="AI5" s="11" t="s">
        <v>1488</v>
      </c>
    </row>
    <row r="6" spans="1:40" x14ac:dyDescent="0.25">
      <c r="A6" s="1" t="s">
        <v>164</v>
      </c>
      <c r="B6" s="1"/>
      <c r="C6" s="1" t="s">
        <v>1490</v>
      </c>
      <c r="D6" s="1" t="s">
        <v>1489</v>
      </c>
      <c r="E6" s="1" t="s">
        <v>1491</v>
      </c>
      <c r="F6" s="1" t="s">
        <v>4863</v>
      </c>
      <c r="G6" s="1" t="s">
        <v>4872</v>
      </c>
      <c r="H6" s="1" t="s">
        <v>4869</v>
      </c>
      <c r="I6" s="1" t="s">
        <v>4933</v>
      </c>
      <c r="J6" s="1" t="s">
        <v>4896</v>
      </c>
      <c r="K6" s="1" t="s">
        <v>4911</v>
      </c>
      <c r="L6" s="1" t="s">
        <v>1492</v>
      </c>
      <c r="M6" s="1">
        <v>8183096709</v>
      </c>
      <c r="N6" s="11" t="s">
        <v>1493</v>
      </c>
      <c r="O6" s="1">
        <v>8183096709</v>
      </c>
      <c r="P6" s="9"/>
      <c r="Q6" s="1" t="s">
        <v>1491</v>
      </c>
      <c r="R6" s="1" t="s">
        <v>1492</v>
      </c>
      <c r="S6" s="1">
        <v>8183096709</v>
      </c>
      <c r="T6" s="11" t="s">
        <v>1493</v>
      </c>
      <c r="U6" s="1">
        <v>8183096709</v>
      </c>
      <c r="V6" s="9"/>
      <c r="W6" s="1" t="s">
        <v>1494</v>
      </c>
      <c r="X6" s="1" t="s">
        <v>1905</v>
      </c>
      <c r="Y6" s="1">
        <v>81155555386</v>
      </c>
      <c r="Z6" s="11" t="s">
        <v>1495</v>
      </c>
      <c r="AA6" s="1">
        <v>8115555386</v>
      </c>
      <c r="AB6" s="9"/>
      <c r="AC6" s="1"/>
      <c r="AD6" s="1"/>
      <c r="AE6" s="1"/>
      <c r="AF6" s="1"/>
      <c r="AG6" s="1"/>
      <c r="AI6" s="11" t="s">
        <v>1496</v>
      </c>
    </row>
    <row r="7" spans="1:40" x14ac:dyDescent="0.25">
      <c r="A7" s="1" t="s">
        <v>165</v>
      </c>
      <c r="B7" s="1"/>
      <c r="C7" s="1" t="s">
        <v>1446</v>
      </c>
      <c r="D7" s="1" t="s">
        <v>1497</v>
      </c>
      <c r="E7" s="1" t="s">
        <v>1498</v>
      </c>
      <c r="F7" s="1" t="s">
        <v>4863</v>
      </c>
      <c r="G7" s="1" t="s">
        <v>4872</v>
      </c>
      <c r="H7" s="1" t="s">
        <v>4869</v>
      </c>
      <c r="I7" s="1" t="s">
        <v>5009</v>
      </c>
      <c r="J7" s="1" t="s">
        <v>4896</v>
      </c>
      <c r="K7" s="1" t="s">
        <v>4911</v>
      </c>
      <c r="L7" s="1" t="s">
        <v>1499</v>
      </c>
      <c r="M7" s="1">
        <v>8110773095</v>
      </c>
      <c r="N7" s="11" t="s">
        <v>1500</v>
      </c>
      <c r="O7" s="1">
        <v>8110773095</v>
      </c>
      <c r="P7" s="9"/>
      <c r="Q7" s="1" t="s">
        <v>1498</v>
      </c>
      <c r="R7" s="1" t="s">
        <v>1499</v>
      </c>
      <c r="S7" s="1">
        <v>8110773095</v>
      </c>
      <c r="T7" s="11" t="s">
        <v>1500</v>
      </c>
      <c r="U7" s="1">
        <v>8110773095</v>
      </c>
      <c r="V7" s="9"/>
      <c r="W7" s="1" t="s">
        <v>1501</v>
      </c>
      <c r="X7" s="1" t="s">
        <v>1499</v>
      </c>
      <c r="Y7" s="1">
        <v>8110404135</v>
      </c>
      <c r="Z7" s="11" t="s">
        <v>1502</v>
      </c>
      <c r="AA7" s="1">
        <v>8110404135</v>
      </c>
      <c r="AB7" s="9"/>
      <c r="AC7" s="1" t="s">
        <v>1503</v>
      </c>
      <c r="AD7" s="1" t="s">
        <v>1499</v>
      </c>
      <c r="AE7" s="1">
        <v>8116116671</v>
      </c>
      <c r="AF7" s="11" t="s">
        <v>1504</v>
      </c>
      <c r="AG7" s="1">
        <v>8116116671</v>
      </c>
      <c r="AI7" s="11" t="s">
        <v>1505</v>
      </c>
    </row>
    <row r="8" spans="1:40" x14ac:dyDescent="0.25">
      <c r="A8" s="1" t="s">
        <v>166</v>
      </c>
      <c r="B8" s="1"/>
      <c r="C8" s="1" t="s">
        <v>1701</v>
      </c>
      <c r="D8" s="1" t="s">
        <v>1918</v>
      </c>
      <c r="E8" s="1" t="s">
        <v>1919</v>
      </c>
      <c r="F8" s="1" t="s">
        <v>4863</v>
      </c>
      <c r="G8" s="1" t="s">
        <v>4873</v>
      </c>
      <c r="H8" s="1" t="s">
        <v>4869</v>
      </c>
      <c r="I8" s="1" t="s">
        <v>5009</v>
      </c>
      <c r="J8" s="1" t="s">
        <v>4896</v>
      </c>
      <c r="K8" s="1" t="s">
        <v>4911</v>
      </c>
      <c r="L8" s="13" t="s">
        <v>1368</v>
      </c>
      <c r="M8" s="1">
        <v>8126823944</v>
      </c>
      <c r="N8" s="11" t="s">
        <v>1920</v>
      </c>
      <c r="O8" s="1">
        <v>8110278517</v>
      </c>
      <c r="P8" s="9"/>
      <c r="Q8" s="1" t="s">
        <v>1919</v>
      </c>
      <c r="R8" s="13" t="s">
        <v>1368</v>
      </c>
      <c r="S8" s="1">
        <v>8126823944</v>
      </c>
      <c r="T8" s="11" t="s">
        <v>1920</v>
      </c>
      <c r="U8" s="1">
        <v>8110278517</v>
      </c>
      <c r="V8" s="9"/>
      <c r="W8" s="1" t="s">
        <v>1921</v>
      </c>
      <c r="X8" s="13" t="s">
        <v>1922</v>
      </c>
      <c r="Y8" s="1">
        <v>8126823944</v>
      </c>
      <c r="Z8" s="11" t="s">
        <v>1923</v>
      </c>
      <c r="AA8" s="1">
        <v>8126411160</v>
      </c>
      <c r="AB8" s="9"/>
      <c r="AC8" s="1" t="s">
        <v>1924</v>
      </c>
      <c r="AD8" s="1" t="s">
        <v>1925</v>
      </c>
      <c r="AE8" s="1">
        <v>8126822344</v>
      </c>
      <c r="AF8" s="11" t="s">
        <v>1926</v>
      </c>
      <c r="AG8" s="1">
        <v>8184656955</v>
      </c>
      <c r="AI8" s="11" t="s">
        <v>1507</v>
      </c>
    </row>
    <row r="9" spans="1:40" x14ac:dyDescent="0.25">
      <c r="A9" s="1" t="s">
        <v>167</v>
      </c>
      <c r="B9" s="18" t="s">
        <v>2851</v>
      </c>
      <c r="C9" s="1" t="s">
        <v>1509</v>
      </c>
      <c r="D9" s="1" t="s">
        <v>1508</v>
      </c>
      <c r="E9" s="1" t="s">
        <v>1510</v>
      </c>
      <c r="F9" s="1" t="s">
        <v>4865</v>
      </c>
      <c r="G9" s="1" t="s">
        <v>4874</v>
      </c>
      <c r="H9" s="1" t="s">
        <v>4869</v>
      </c>
      <c r="I9" s="1" t="s">
        <v>4956</v>
      </c>
      <c r="J9" s="1" t="s">
        <v>4896</v>
      </c>
      <c r="K9" s="1" t="s">
        <v>4911</v>
      </c>
      <c r="L9" s="1" t="s">
        <v>1511</v>
      </c>
      <c r="M9" s="1">
        <v>8119906110</v>
      </c>
      <c r="N9" s="11" t="s">
        <v>1512</v>
      </c>
      <c r="O9" s="1">
        <v>8119906110</v>
      </c>
      <c r="P9" s="9"/>
      <c r="Q9" s="1" t="s">
        <v>1510</v>
      </c>
      <c r="R9" s="1" t="s">
        <v>1511</v>
      </c>
      <c r="S9" s="1">
        <v>8119906110</v>
      </c>
      <c r="T9" s="11" t="s">
        <v>1512</v>
      </c>
      <c r="U9" s="1">
        <v>8119906110</v>
      </c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1" t="s">
        <v>1513</v>
      </c>
    </row>
    <row r="10" spans="1:40" x14ac:dyDescent="0.25">
      <c r="A10" s="1" t="s">
        <v>168</v>
      </c>
      <c r="B10" s="1"/>
      <c r="C10" s="1" t="s">
        <v>1776</v>
      </c>
      <c r="D10" s="1" t="s">
        <v>1786</v>
      </c>
      <c r="E10" s="1" t="s">
        <v>1787</v>
      </c>
      <c r="F10" s="1" t="s">
        <v>4863</v>
      </c>
      <c r="G10" s="1" t="s">
        <v>4872</v>
      </c>
      <c r="H10" s="1" t="s">
        <v>4869</v>
      </c>
      <c r="I10" s="1" t="s">
        <v>4934</v>
      </c>
      <c r="J10" s="1" t="s">
        <v>4896</v>
      </c>
      <c r="K10" s="1" t="s">
        <v>4911</v>
      </c>
      <c r="L10" s="1" t="s">
        <v>1788</v>
      </c>
      <c r="M10" s="1">
        <v>8115159449</v>
      </c>
      <c r="N10" s="11" t="s">
        <v>1789</v>
      </c>
      <c r="O10" s="1">
        <v>8115159449</v>
      </c>
      <c r="P10" s="9"/>
      <c r="Q10" s="1" t="s">
        <v>1787</v>
      </c>
      <c r="R10" s="1" t="s">
        <v>1788</v>
      </c>
      <c r="S10" s="1">
        <v>8115159449</v>
      </c>
      <c r="T10" s="11" t="s">
        <v>1789</v>
      </c>
      <c r="U10" s="1">
        <v>8115159449</v>
      </c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1" t="s">
        <v>1917</v>
      </c>
    </row>
    <row r="11" spans="1:40" x14ac:dyDescent="0.25">
      <c r="A11" s="1" t="s">
        <v>169</v>
      </c>
      <c r="B11" s="18" t="s">
        <v>2852</v>
      </c>
      <c r="C11" s="1" t="s">
        <v>1858</v>
      </c>
      <c r="D11" s="1" t="s">
        <v>1857</v>
      </c>
      <c r="E11" s="1" t="s">
        <v>1859</v>
      </c>
      <c r="F11" s="1" t="s">
        <v>4863</v>
      </c>
      <c r="G11" s="1" t="s">
        <v>4872</v>
      </c>
      <c r="H11" s="1" t="s">
        <v>4869</v>
      </c>
      <c r="I11" s="1" t="s">
        <v>4933</v>
      </c>
      <c r="J11" s="1" t="s">
        <v>4896</v>
      </c>
      <c r="K11" s="1" t="s">
        <v>4911</v>
      </c>
      <c r="L11" s="1" t="s">
        <v>1860</v>
      </c>
      <c r="M11" s="1">
        <v>20910985</v>
      </c>
      <c r="N11" s="11" t="s">
        <v>1861</v>
      </c>
      <c r="O11" s="1">
        <v>8115824706</v>
      </c>
      <c r="P11" s="9"/>
      <c r="Q11" s="1" t="s">
        <v>1859</v>
      </c>
      <c r="R11" s="1" t="s">
        <v>1860</v>
      </c>
      <c r="S11" s="1">
        <v>20910985</v>
      </c>
      <c r="T11" s="11" t="s">
        <v>1861</v>
      </c>
      <c r="U11" s="1">
        <v>8115824706</v>
      </c>
      <c r="V11" s="9"/>
      <c r="W11" s="1" t="s">
        <v>1862</v>
      </c>
      <c r="X11" s="1" t="s">
        <v>1511</v>
      </c>
      <c r="Y11" s="1">
        <v>8182006113</v>
      </c>
      <c r="Z11" s="11" t="s">
        <v>1863</v>
      </c>
      <c r="AA11" s="1">
        <v>8182006113</v>
      </c>
      <c r="AB11" s="9"/>
      <c r="AC11" s="1" t="s">
        <v>1864</v>
      </c>
      <c r="AD11" s="1" t="s">
        <v>1865</v>
      </c>
      <c r="AE11" s="1">
        <v>8112569196</v>
      </c>
      <c r="AF11" s="11" t="s">
        <v>1866</v>
      </c>
      <c r="AG11" s="1">
        <v>8112569196</v>
      </c>
      <c r="AI11" s="11" t="s">
        <v>1867</v>
      </c>
    </row>
    <row r="12" spans="1:40" x14ac:dyDescent="0.25">
      <c r="A12" s="1" t="s">
        <v>170</v>
      </c>
      <c r="B12" s="18" t="s">
        <v>2853</v>
      </c>
      <c r="C12" s="1" t="s">
        <v>1418</v>
      </c>
      <c r="D12" s="1" t="s">
        <v>1909</v>
      </c>
      <c r="E12" s="1" t="s">
        <v>1906</v>
      </c>
      <c r="F12" s="1" t="s">
        <v>4865</v>
      </c>
      <c r="G12" s="1" t="s">
        <v>4873</v>
      </c>
      <c r="H12" s="1" t="s">
        <v>4869</v>
      </c>
      <c r="I12" s="1" t="s">
        <v>5015</v>
      </c>
      <c r="J12" s="1" t="s">
        <v>4896</v>
      </c>
      <c r="K12" s="1" t="s">
        <v>4928</v>
      </c>
      <c r="L12" s="1" t="s">
        <v>1907</v>
      </c>
      <c r="M12" s="1">
        <v>8118037994</v>
      </c>
      <c r="N12" s="11" t="s">
        <v>1908</v>
      </c>
      <c r="O12" s="1">
        <v>8118037994</v>
      </c>
      <c r="P12" s="9"/>
      <c r="Q12" s="1" t="s">
        <v>1906</v>
      </c>
      <c r="R12" s="1" t="s">
        <v>1907</v>
      </c>
      <c r="S12" s="1">
        <v>8118037994</v>
      </c>
      <c r="T12" s="11" t="s">
        <v>1908</v>
      </c>
      <c r="U12" s="1">
        <v>8118037994</v>
      </c>
      <c r="V12" s="9"/>
      <c r="W12" s="1" t="s">
        <v>1910</v>
      </c>
      <c r="X12" s="1" t="s">
        <v>1911</v>
      </c>
      <c r="Y12" s="1">
        <v>8129349391</v>
      </c>
      <c r="Z12" s="11" t="s">
        <v>1912</v>
      </c>
      <c r="AA12" s="1">
        <v>8129349391</v>
      </c>
      <c r="AB12" s="9"/>
      <c r="AC12" s="1" t="s">
        <v>1913</v>
      </c>
      <c r="AD12" s="1" t="s">
        <v>1914</v>
      </c>
      <c r="AE12" s="1">
        <v>8120144979</v>
      </c>
      <c r="AF12" s="11" t="s">
        <v>1915</v>
      </c>
      <c r="AG12" s="1">
        <v>8120144979</v>
      </c>
      <c r="AI12" s="11" t="s">
        <v>1916</v>
      </c>
    </row>
    <row r="13" spans="1:40" x14ac:dyDescent="0.25">
      <c r="A13" s="1" t="s">
        <v>171</v>
      </c>
      <c r="B13" s="18" t="s">
        <v>2854</v>
      </c>
      <c r="C13" s="1" t="s">
        <v>1928</v>
      </c>
      <c r="D13" s="31" t="s">
        <v>1927</v>
      </c>
      <c r="E13" s="1" t="s">
        <v>1929</v>
      </c>
      <c r="F13" s="1" t="s">
        <v>4867</v>
      </c>
      <c r="G13" s="1" t="s">
        <v>4875</v>
      </c>
      <c r="H13" s="1" t="s">
        <v>4869</v>
      </c>
      <c r="I13" s="1" t="s">
        <v>4921</v>
      </c>
      <c r="J13" s="1" t="s">
        <v>4896</v>
      </c>
      <c r="K13" s="1" t="s">
        <v>4924</v>
      </c>
      <c r="L13" s="1" t="s">
        <v>1483</v>
      </c>
      <c r="M13" s="1" t="s">
        <v>1483</v>
      </c>
      <c r="N13" s="1" t="s">
        <v>1483</v>
      </c>
      <c r="O13" s="1" t="s">
        <v>1483</v>
      </c>
      <c r="P13" s="9"/>
      <c r="Q13" s="1" t="s">
        <v>1930</v>
      </c>
      <c r="R13" s="1" t="s">
        <v>1931</v>
      </c>
      <c r="S13" s="1">
        <v>8117641459</v>
      </c>
      <c r="T13" s="11" t="s">
        <v>1932</v>
      </c>
      <c r="U13" s="1">
        <v>8117641459</v>
      </c>
      <c r="V13" s="9"/>
      <c r="W13" s="1" t="s">
        <v>1933</v>
      </c>
      <c r="X13" s="1" t="s">
        <v>1934</v>
      </c>
      <c r="Y13" s="1">
        <v>8112123922</v>
      </c>
      <c r="Z13" s="11" t="s">
        <v>1935</v>
      </c>
      <c r="AA13" s="1">
        <v>8112123922</v>
      </c>
      <c r="AB13" s="9"/>
      <c r="AC13" s="1" t="s">
        <v>1936</v>
      </c>
      <c r="AD13" s="1" t="s">
        <v>1937</v>
      </c>
      <c r="AE13" s="1">
        <v>4773922336</v>
      </c>
      <c r="AF13" s="11" t="s">
        <v>1938</v>
      </c>
      <c r="AG13" s="1">
        <v>4773922336</v>
      </c>
      <c r="AI13" s="11" t="s">
        <v>1939</v>
      </c>
      <c r="AJ13" s="18"/>
      <c r="AK13" s="18"/>
      <c r="AM13" s="18"/>
      <c r="AN13" s="19"/>
    </row>
    <row r="14" spans="1:40" x14ac:dyDescent="0.25">
      <c r="A14" s="1" t="s">
        <v>172</v>
      </c>
      <c r="B14" s="1"/>
      <c r="C14" s="1" t="s">
        <v>2013</v>
      </c>
      <c r="D14" s="1" t="s">
        <v>2105</v>
      </c>
      <c r="E14" s="1" t="s">
        <v>2106</v>
      </c>
      <c r="F14" s="1" t="s">
        <v>4863</v>
      </c>
      <c r="G14" s="1" t="s">
        <v>4872</v>
      </c>
      <c r="H14" s="1" t="s">
        <v>4869</v>
      </c>
      <c r="I14" s="1" t="s">
        <v>5009</v>
      </c>
      <c r="J14" s="1" t="s">
        <v>4896</v>
      </c>
      <c r="K14" s="1" t="s">
        <v>4911</v>
      </c>
      <c r="L14" s="1" t="s">
        <v>2107</v>
      </c>
      <c r="M14" s="1">
        <v>8183093629</v>
      </c>
      <c r="N14" s="11" t="s">
        <v>2108</v>
      </c>
      <c r="O14" s="1">
        <v>8183093629</v>
      </c>
      <c r="P14" s="9"/>
      <c r="Q14" s="1" t="s">
        <v>2106</v>
      </c>
      <c r="R14" s="1" t="s">
        <v>2107</v>
      </c>
      <c r="S14" s="1">
        <v>8183093629</v>
      </c>
      <c r="T14" s="11" t="s">
        <v>2108</v>
      </c>
      <c r="U14" s="1">
        <v>8183093629</v>
      </c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1" t="s">
        <v>2109</v>
      </c>
    </row>
    <row r="15" spans="1:40" x14ac:dyDescent="0.25">
      <c r="A15" s="1" t="s">
        <v>173</v>
      </c>
      <c r="B15" s="18" t="s">
        <v>2855</v>
      </c>
      <c r="C15" s="1" t="s">
        <v>2283</v>
      </c>
      <c r="D15" s="1" t="s">
        <v>2282</v>
      </c>
      <c r="E15" s="1" t="s">
        <v>2284</v>
      </c>
      <c r="F15" s="1" t="s">
        <v>4864</v>
      </c>
      <c r="G15" s="1" t="s">
        <v>4875</v>
      </c>
      <c r="H15" s="1" t="s">
        <v>4869</v>
      </c>
      <c r="I15" s="1" t="s">
        <v>4923</v>
      </c>
      <c r="J15" s="1" t="s">
        <v>4896</v>
      </c>
      <c r="K15" s="1" t="s">
        <v>4924</v>
      </c>
      <c r="L15" s="1" t="s">
        <v>2285</v>
      </c>
      <c r="M15" s="1">
        <v>8128651037</v>
      </c>
      <c r="N15" s="11" t="s">
        <v>2286</v>
      </c>
      <c r="O15" s="1">
        <v>8128651037</v>
      </c>
      <c r="P15" s="9"/>
      <c r="Q15" s="1" t="s">
        <v>2284</v>
      </c>
      <c r="R15" s="1" t="s">
        <v>2285</v>
      </c>
      <c r="S15" s="1">
        <v>8128651037</v>
      </c>
      <c r="T15" s="11" t="s">
        <v>2286</v>
      </c>
      <c r="U15" s="1">
        <v>8128651037</v>
      </c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1" t="s">
        <v>2287</v>
      </c>
    </row>
    <row r="16" spans="1:40" x14ac:dyDescent="0.25">
      <c r="A16" s="1" t="s">
        <v>174</v>
      </c>
      <c r="B16" s="1"/>
      <c r="C16" s="1" t="s">
        <v>2283</v>
      </c>
      <c r="D16" s="1" t="s">
        <v>2288</v>
      </c>
      <c r="E16" s="1" t="s">
        <v>2289</v>
      </c>
      <c r="F16" s="1" t="s">
        <v>4863</v>
      </c>
      <c r="G16" s="1" t="s">
        <v>4875</v>
      </c>
      <c r="H16" s="1" t="s">
        <v>4871</v>
      </c>
      <c r="I16" s="1" t="s">
        <v>3073</v>
      </c>
      <c r="J16" s="1" t="s">
        <v>4896</v>
      </c>
      <c r="K16" s="1" t="s">
        <v>4946</v>
      </c>
      <c r="L16" s="1" t="s">
        <v>2290</v>
      </c>
      <c r="M16" s="1" t="s">
        <v>1483</v>
      </c>
      <c r="N16" s="1" t="s">
        <v>1483</v>
      </c>
      <c r="O16" s="1" t="s">
        <v>1483</v>
      </c>
      <c r="P16" s="9"/>
      <c r="Q16" s="1" t="s">
        <v>2291</v>
      </c>
      <c r="R16" s="1" t="s">
        <v>2292</v>
      </c>
      <c r="S16" s="1">
        <v>8111811164</v>
      </c>
      <c r="T16" s="11" t="s">
        <v>2293</v>
      </c>
      <c r="U16" s="1">
        <v>8111811164</v>
      </c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1" t="s">
        <v>2294</v>
      </c>
    </row>
    <row r="17" spans="1:35" x14ac:dyDescent="0.25">
      <c r="A17" s="1" t="s">
        <v>175</v>
      </c>
      <c r="B17" s="18" t="s">
        <v>2856</v>
      </c>
      <c r="C17" s="1" t="s">
        <v>2013</v>
      </c>
      <c r="D17" s="1" t="s">
        <v>2295</v>
      </c>
      <c r="E17" s="1" t="s">
        <v>2296</v>
      </c>
      <c r="F17" s="1" t="s">
        <v>4863</v>
      </c>
      <c r="G17" s="1" t="s">
        <v>4872</v>
      </c>
      <c r="H17" s="1" t="s">
        <v>4869</v>
      </c>
      <c r="I17" s="1" t="s">
        <v>4934</v>
      </c>
      <c r="J17" s="1" t="s">
        <v>4896</v>
      </c>
      <c r="K17" s="1" t="s">
        <v>4911</v>
      </c>
      <c r="L17" s="1" t="s">
        <v>2297</v>
      </c>
      <c r="M17" s="1">
        <v>8183023076</v>
      </c>
      <c r="N17" s="11" t="s">
        <v>2298</v>
      </c>
      <c r="O17" s="1">
        <v>8183023076</v>
      </c>
      <c r="P17" s="9"/>
      <c r="Q17" s="1" t="s">
        <v>2296</v>
      </c>
      <c r="R17" s="1" t="s">
        <v>2297</v>
      </c>
      <c r="S17" s="1">
        <v>8183023076</v>
      </c>
      <c r="T17" s="11" t="s">
        <v>2298</v>
      </c>
      <c r="U17" s="1">
        <v>8183023076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2299</v>
      </c>
    </row>
    <row r="18" spans="1:35" x14ac:dyDescent="0.25">
      <c r="A18" s="1" t="s">
        <v>176</v>
      </c>
      <c r="B18" s="1"/>
      <c r="C18" s="1" t="s">
        <v>2175</v>
      </c>
      <c r="D18" s="1" t="s">
        <v>2393</v>
      </c>
      <c r="E18" s="1" t="s">
        <v>2394</v>
      </c>
      <c r="F18" s="1" t="s">
        <v>4863</v>
      </c>
      <c r="G18" s="1" t="s">
        <v>4875</v>
      </c>
      <c r="H18" s="1" t="s">
        <v>4871</v>
      </c>
      <c r="I18" s="1" t="s">
        <v>5016</v>
      </c>
      <c r="J18" s="1" t="s">
        <v>4896</v>
      </c>
      <c r="K18" s="1" t="s">
        <v>4946</v>
      </c>
      <c r="L18" s="1" t="s">
        <v>2395</v>
      </c>
      <c r="M18" s="1" t="s">
        <v>2396</v>
      </c>
      <c r="N18" s="11" t="s">
        <v>2397</v>
      </c>
      <c r="O18" s="1">
        <v>8110364407</v>
      </c>
      <c r="P18" s="9"/>
      <c r="Q18" s="1" t="s">
        <v>2394</v>
      </c>
      <c r="R18" s="1" t="s">
        <v>2395</v>
      </c>
      <c r="S18" s="1" t="s">
        <v>2396</v>
      </c>
      <c r="T18" s="11" t="s">
        <v>2397</v>
      </c>
      <c r="U18" s="1">
        <v>8110364407</v>
      </c>
      <c r="V18" s="9"/>
      <c r="W18" s="1" t="s">
        <v>2398</v>
      </c>
      <c r="X18" s="1" t="s">
        <v>2399</v>
      </c>
      <c r="Y18" s="1" t="s">
        <v>2400</v>
      </c>
      <c r="Z18" s="11" t="s">
        <v>2401</v>
      </c>
      <c r="AA18" s="1">
        <v>8125837296</v>
      </c>
      <c r="AB18" s="9"/>
      <c r="AC18" s="1" t="s">
        <v>2402</v>
      </c>
      <c r="AD18" s="1" t="s">
        <v>2403</v>
      </c>
      <c r="AE18" s="1" t="s">
        <v>2404</v>
      </c>
      <c r="AF18" s="11" t="s">
        <v>5335</v>
      </c>
      <c r="AG18" s="1">
        <v>8136516677</v>
      </c>
      <c r="AI18" s="11" t="s">
        <v>5334</v>
      </c>
    </row>
    <row r="19" spans="1:35" x14ac:dyDescent="0.25">
      <c r="A19" s="1" t="s">
        <v>177</v>
      </c>
      <c r="B19" s="18" t="s">
        <v>2857</v>
      </c>
      <c r="C19" s="1" t="s">
        <v>2175</v>
      </c>
      <c r="D19" s="1" t="s">
        <v>2405</v>
      </c>
      <c r="E19" s="1" t="s">
        <v>2406</v>
      </c>
      <c r="F19" s="1" t="s">
        <v>4863</v>
      </c>
      <c r="G19" s="1" t="s">
        <v>4874</v>
      </c>
      <c r="H19" s="1" t="s">
        <v>4869</v>
      </c>
      <c r="I19" s="1" t="s">
        <v>4918</v>
      </c>
      <c r="J19" s="1" t="s">
        <v>4896</v>
      </c>
      <c r="K19" s="1" t="s">
        <v>4911</v>
      </c>
      <c r="L19" s="1" t="s">
        <v>1483</v>
      </c>
      <c r="M19" s="1" t="s">
        <v>1483</v>
      </c>
      <c r="N19" s="1" t="s">
        <v>1483</v>
      </c>
      <c r="O19" s="1" t="s">
        <v>1483</v>
      </c>
      <c r="P19" s="9"/>
      <c r="Q19" s="1" t="s">
        <v>2406</v>
      </c>
      <c r="R19" s="1" t="s">
        <v>2407</v>
      </c>
      <c r="S19" s="1">
        <v>8261354997</v>
      </c>
      <c r="T19" s="11" t="s">
        <v>2408</v>
      </c>
      <c r="U19" s="1">
        <v>8261354997</v>
      </c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1" t="s">
        <v>2409</v>
      </c>
    </row>
    <row r="20" spans="1:35" x14ac:dyDescent="0.25">
      <c r="A20" s="1" t="s">
        <v>178</v>
      </c>
      <c r="B20" s="18" t="s">
        <v>3916</v>
      </c>
      <c r="C20" s="1" t="s">
        <v>3182</v>
      </c>
      <c r="D20" s="1" t="s">
        <v>3455</v>
      </c>
      <c r="E20" s="1" t="s">
        <v>3456</v>
      </c>
      <c r="F20" s="1" t="s">
        <v>4867</v>
      </c>
      <c r="G20" s="1" t="s">
        <v>4875</v>
      </c>
      <c r="H20" s="1" t="s">
        <v>4869</v>
      </c>
      <c r="I20" s="1" t="s">
        <v>4920</v>
      </c>
      <c r="J20" s="1" t="s">
        <v>4896</v>
      </c>
      <c r="K20" s="1" t="s">
        <v>4911</v>
      </c>
      <c r="L20" s="1" t="s">
        <v>3457</v>
      </c>
      <c r="M20" s="1">
        <v>8110220453</v>
      </c>
      <c r="N20" s="11" t="s">
        <v>3458</v>
      </c>
      <c r="O20" s="1">
        <v>8110220453</v>
      </c>
      <c r="P20" s="9"/>
      <c r="Q20" s="1" t="s">
        <v>3456</v>
      </c>
      <c r="R20" s="1" t="s">
        <v>3457</v>
      </c>
      <c r="S20" s="1">
        <v>8110220453</v>
      </c>
      <c r="T20" s="11" t="s">
        <v>3458</v>
      </c>
      <c r="U20" s="1">
        <v>8110220453</v>
      </c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1" t="s">
        <v>3459</v>
      </c>
    </row>
    <row r="21" spans="1:35" x14ac:dyDescent="0.25">
      <c r="A21" s="1" t="s">
        <v>179</v>
      </c>
      <c r="B21" s="1"/>
      <c r="C21" s="1" t="s">
        <v>3464</v>
      </c>
      <c r="D21" s="1" t="s">
        <v>3669</v>
      </c>
      <c r="E21" s="1" t="s">
        <v>3670</v>
      </c>
      <c r="F21" s="1" t="s">
        <v>4863</v>
      </c>
      <c r="G21" s="1" t="s">
        <v>4873</v>
      </c>
      <c r="H21" s="1" t="s">
        <v>4869</v>
      </c>
      <c r="I21" s="1" t="s">
        <v>4925</v>
      </c>
      <c r="J21" s="1" t="s">
        <v>4896</v>
      </c>
      <c r="K21" s="1" t="s">
        <v>4911</v>
      </c>
      <c r="L21" s="1" t="s">
        <v>2215</v>
      </c>
      <c r="M21" s="1">
        <v>8134041465</v>
      </c>
      <c r="N21" s="11" t="s">
        <v>3671</v>
      </c>
      <c r="O21" s="1">
        <v>8134041465</v>
      </c>
      <c r="P21" s="9"/>
      <c r="Q21" s="1" t="s">
        <v>3670</v>
      </c>
      <c r="R21" s="1" t="s">
        <v>2215</v>
      </c>
      <c r="S21" s="1">
        <v>8134041465</v>
      </c>
      <c r="T21" s="11" t="s">
        <v>3671</v>
      </c>
      <c r="U21" s="1">
        <v>8134041465</v>
      </c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1" t="s">
        <v>3672</v>
      </c>
    </row>
    <row r="22" spans="1:35" x14ac:dyDescent="0.25">
      <c r="A22" s="1" t="s">
        <v>180</v>
      </c>
      <c r="B22" s="1"/>
      <c r="C22" s="1" t="s">
        <v>4086</v>
      </c>
      <c r="D22" t="s">
        <v>5017</v>
      </c>
      <c r="E22" s="1" t="s">
        <v>4087</v>
      </c>
      <c r="F22" s="1" t="s">
        <v>4863</v>
      </c>
      <c r="G22" s="1" t="s">
        <v>4873</v>
      </c>
      <c r="H22" s="1" t="s">
        <v>4869</v>
      </c>
      <c r="I22" s="1" t="s">
        <v>4934</v>
      </c>
      <c r="J22" s="1" t="s">
        <v>4896</v>
      </c>
      <c r="K22" s="1" t="s">
        <v>4911</v>
      </c>
      <c r="L22" s="1" t="s">
        <v>4088</v>
      </c>
      <c r="M22" s="1">
        <v>8183645864</v>
      </c>
      <c r="O22" s="1">
        <v>8181620101</v>
      </c>
      <c r="P22" s="9"/>
      <c r="Q22" s="1" t="s">
        <v>4087</v>
      </c>
      <c r="R22" s="1" t="s">
        <v>4088</v>
      </c>
      <c r="S22" s="1">
        <v>8183645864</v>
      </c>
      <c r="T22" s="11" t="s">
        <v>4089</v>
      </c>
      <c r="U22" s="1">
        <v>8181620101</v>
      </c>
      <c r="V22" s="9"/>
      <c r="W22" s="1" t="s">
        <v>4090</v>
      </c>
      <c r="X22" s="1" t="s">
        <v>3070</v>
      </c>
      <c r="Y22" s="1">
        <v>8183645864</v>
      </c>
      <c r="Z22" s="11" t="s">
        <v>4091</v>
      </c>
      <c r="AA22" s="1">
        <v>8112777184</v>
      </c>
      <c r="AB22" s="9"/>
      <c r="AC22" s="1"/>
      <c r="AD22" s="1"/>
      <c r="AE22" s="1"/>
      <c r="AF22" s="1"/>
      <c r="AG22" s="1"/>
      <c r="AI22" s="11" t="s">
        <v>4092</v>
      </c>
    </row>
    <row r="23" spans="1:35" x14ac:dyDescent="0.25">
      <c r="A23" s="1" t="s">
        <v>181</v>
      </c>
      <c r="B23" s="1" t="s">
        <v>4181</v>
      </c>
      <c r="C23" s="1" t="s">
        <v>4180</v>
      </c>
      <c r="D23" s="1" t="s">
        <v>4179</v>
      </c>
      <c r="E23" s="1" t="s">
        <v>4182</v>
      </c>
      <c r="F23" s="1" t="s">
        <v>4863</v>
      </c>
      <c r="G23" s="1" t="s">
        <v>4872</v>
      </c>
      <c r="H23" s="1" t="s">
        <v>4869</v>
      </c>
      <c r="I23" s="1" t="s">
        <v>5009</v>
      </c>
      <c r="J23" s="1" t="s">
        <v>4896</v>
      </c>
      <c r="K23" s="1" t="s">
        <v>4911</v>
      </c>
      <c r="L23" s="1" t="s">
        <v>3473</v>
      </c>
      <c r="M23" s="1" t="s">
        <v>4184</v>
      </c>
      <c r="N23" s="11" t="s">
        <v>4185</v>
      </c>
      <c r="O23" s="1" t="s">
        <v>4184</v>
      </c>
      <c r="P23" s="9"/>
      <c r="Q23" s="1" t="s">
        <v>4182</v>
      </c>
      <c r="R23" s="1" t="s">
        <v>4186</v>
      </c>
      <c r="S23" s="1" t="s">
        <v>4184</v>
      </c>
      <c r="T23" s="11" t="s">
        <v>4185</v>
      </c>
      <c r="U23" s="1" t="s">
        <v>4184</v>
      </c>
      <c r="V23" s="9"/>
      <c r="W23" s="1" t="s">
        <v>4187</v>
      </c>
      <c r="X23" s="1" t="s">
        <v>4188</v>
      </c>
      <c r="Y23" s="1" t="s">
        <v>4183</v>
      </c>
      <c r="Z23" s="11" t="s">
        <v>4189</v>
      </c>
      <c r="AA23" s="1" t="s">
        <v>4183</v>
      </c>
      <c r="AB23" s="9"/>
      <c r="AC23" s="1"/>
      <c r="AD23" s="1"/>
      <c r="AE23" s="1"/>
      <c r="AF23" s="1"/>
      <c r="AG23" s="1"/>
      <c r="AI23" s="11" t="s">
        <v>4190</v>
      </c>
    </row>
    <row r="24" spans="1:35" x14ac:dyDescent="0.25">
      <c r="A24" s="1" t="s">
        <v>182</v>
      </c>
      <c r="B24" s="18" t="s">
        <v>4331</v>
      </c>
      <c r="C24" s="1" t="s">
        <v>4273</v>
      </c>
      <c r="D24" s="1" t="s">
        <v>4330</v>
      </c>
      <c r="E24" s="1" t="s">
        <v>4332</v>
      </c>
      <c r="F24" s="1" t="s">
        <v>4863</v>
      </c>
      <c r="G24" s="1" t="s">
        <v>4873</v>
      </c>
      <c r="H24" s="1" t="s">
        <v>4869</v>
      </c>
      <c r="I24" s="1" t="s">
        <v>4934</v>
      </c>
      <c r="J24" s="1" t="s">
        <v>4896</v>
      </c>
      <c r="K24" s="1" t="s">
        <v>4911</v>
      </c>
      <c r="L24" s="1" t="s">
        <v>4333</v>
      </c>
      <c r="M24" s="1" t="s">
        <v>4334</v>
      </c>
      <c r="N24" s="11" t="s">
        <v>4335</v>
      </c>
      <c r="O24" s="1">
        <v>8180193569</v>
      </c>
      <c r="P24" s="9"/>
      <c r="Q24" s="1" t="s">
        <v>4336</v>
      </c>
      <c r="R24" s="1" t="s">
        <v>2351</v>
      </c>
      <c r="S24" s="1" t="s">
        <v>4337</v>
      </c>
      <c r="T24" s="11" t="s">
        <v>4338</v>
      </c>
      <c r="U24" s="1">
        <v>8118088941</v>
      </c>
      <c r="V24" s="9"/>
      <c r="W24" s="1" t="s">
        <v>4332</v>
      </c>
      <c r="X24" s="1" t="s">
        <v>4333</v>
      </c>
      <c r="Y24" s="1" t="s">
        <v>4334</v>
      </c>
      <c r="Z24" s="11" t="s">
        <v>4335</v>
      </c>
      <c r="AA24" s="1">
        <v>8180193569</v>
      </c>
      <c r="AB24" s="9"/>
      <c r="AC24" s="1"/>
      <c r="AD24" s="1"/>
      <c r="AE24" s="1"/>
      <c r="AF24" s="1"/>
      <c r="AG24" s="1"/>
      <c r="AI24" s="11" t="s">
        <v>4339</v>
      </c>
    </row>
    <row r="25" spans="1:35" x14ac:dyDescent="0.25">
      <c r="A25" s="1" t="s">
        <v>183</v>
      </c>
      <c r="B25" s="18" t="s">
        <v>4341</v>
      </c>
      <c r="C25" s="1" t="s">
        <v>4342</v>
      </c>
      <c r="D25" s="1" t="s">
        <v>4340</v>
      </c>
      <c r="E25" s="1" t="s">
        <v>4343</v>
      </c>
      <c r="F25" s="1" t="s">
        <v>4863</v>
      </c>
      <c r="G25" s="1" t="s">
        <v>4874</v>
      </c>
      <c r="H25" s="1" t="s">
        <v>4870</v>
      </c>
      <c r="I25" s="1" t="s">
        <v>5018</v>
      </c>
      <c r="J25" s="1" t="s">
        <v>4896</v>
      </c>
      <c r="K25" s="1" t="s">
        <v>4911</v>
      </c>
      <c r="L25" s="1" t="s">
        <v>1522</v>
      </c>
      <c r="M25" s="1">
        <v>8211414813</v>
      </c>
      <c r="N25" s="11" t="s">
        <v>4344</v>
      </c>
      <c r="O25" s="1">
        <v>8211414813</v>
      </c>
      <c r="P25" s="9"/>
      <c r="Q25" s="1" t="s">
        <v>4343</v>
      </c>
      <c r="R25" s="1" t="s">
        <v>1522</v>
      </c>
      <c r="S25" s="1">
        <v>8211414813</v>
      </c>
      <c r="T25" s="11" t="s">
        <v>4344</v>
      </c>
      <c r="U25" s="1">
        <v>8211414813</v>
      </c>
      <c r="V25" s="9"/>
      <c r="W25" s="1" t="s">
        <v>4345</v>
      </c>
      <c r="X25" s="1" t="s">
        <v>1989</v>
      </c>
      <c r="Y25" s="1">
        <v>8211458989</v>
      </c>
      <c r="Z25" s="11" t="s">
        <v>4346</v>
      </c>
      <c r="AA25" s="1">
        <v>8211458989</v>
      </c>
      <c r="AB25" s="9"/>
      <c r="AC25" s="1"/>
      <c r="AD25" s="1"/>
      <c r="AE25" s="1"/>
      <c r="AF25" s="1"/>
      <c r="AG25" s="1"/>
      <c r="AI25" s="11" t="s">
        <v>4347</v>
      </c>
    </row>
    <row r="26" spans="1:35" x14ac:dyDescent="0.25">
      <c r="A26" s="1" t="s">
        <v>184</v>
      </c>
      <c r="B26" s="1" t="s">
        <v>5322</v>
      </c>
      <c r="C26" s="1" t="s">
        <v>5056</v>
      </c>
      <c r="D26" s="1" t="s">
        <v>5323</v>
      </c>
      <c r="E26" s="1" t="s">
        <v>5324</v>
      </c>
      <c r="F26" s="1"/>
      <c r="G26" s="1"/>
      <c r="H26" s="1"/>
      <c r="I26" s="1"/>
      <c r="J26" s="1"/>
      <c r="K26" s="1"/>
      <c r="L26" s="1" t="s">
        <v>5325</v>
      </c>
      <c r="M26" s="1">
        <v>8008315700</v>
      </c>
      <c r="N26" s="11" t="s">
        <v>5326</v>
      </c>
      <c r="O26" s="1" t="s">
        <v>1483</v>
      </c>
      <c r="P26" s="9"/>
      <c r="Q26" s="1" t="s">
        <v>5324</v>
      </c>
      <c r="R26" s="1" t="s">
        <v>5325</v>
      </c>
      <c r="S26" s="1">
        <v>8008315700</v>
      </c>
      <c r="T26" s="11" t="s">
        <v>5326</v>
      </c>
      <c r="U26" s="1" t="s">
        <v>1483</v>
      </c>
      <c r="V26" s="9"/>
      <c r="W26" s="1" t="s">
        <v>5327</v>
      </c>
      <c r="X26" s="1" t="s">
        <v>5328</v>
      </c>
      <c r="Y26" s="1">
        <v>8008315700</v>
      </c>
      <c r="Z26" s="11" t="s">
        <v>5329</v>
      </c>
      <c r="AA26" s="1" t="s">
        <v>1483</v>
      </c>
      <c r="AB26" s="9"/>
      <c r="AC26" s="1" t="s">
        <v>5330</v>
      </c>
      <c r="AD26" s="1" t="s">
        <v>5331</v>
      </c>
      <c r="AE26" s="1">
        <v>8008315700</v>
      </c>
      <c r="AF26" s="11" t="s">
        <v>5332</v>
      </c>
      <c r="AG26" s="1" t="s">
        <v>1483</v>
      </c>
      <c r="AI26" s="11" t="s">
        <v>5333</v>
      </c>
    </row>
    <row r="27" spans="1:35" x14ac:dyDescent="0.25">
      <c r="A27" s="1" t="s">
        <v>185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200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201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202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203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204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205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206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207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208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209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SUBTOTAL(103,Tabla7[ARCHIVO])</f>
        <v>25</v>
      </c>
    </row>
  </sheetData>
  <hyperlinks>
    <hyperlink ref="N2" r:id="rId1" xr:uid="{00000000-0004-0000-0400-000000000000}"/>
    <hyperlink ref="T2" r:id="rId2" xr:uid="{00000000-0004-0000-0400-000001000000}"/>
    <hyperlink ref="Z2" r:id="rId3" xr:uid="{00000000-0004-0000-0400-000002000000}"/>
    <hyperlink ref="AF2" r:id="rId4" xr:uid="{00000000-0004-0000-0400-000003000000}"/>
    <hyperlink ref="AI2" r:id="rId5" xr:uid="{00000000-0004-0000-0400-000004000000}"/>
    <hyperlink ref="N3" r:id="rId6" xr:uid="{00000000-0004-0000-0400-000005000000}"/>
    <hyperlink ref="T3" r:id="rId7" xr:uid="{00000000-0004-0000-0400-000006000000}"/>
    <hyperlink ref="AI3" r:id="rId8" xr:uid="{00000000-0004-0000-0400-000007000000}"/>
    <hyperlink ref="T4" r:id="rId9" xr:uid="{00000000-0004-0000-0400-000008000000}"/>
    <hyperlink ref="Z4" r:id="rId10" xr:uid="{00000000-0004-0000-0400-000009000000}"/>
    <hyperlink ref="AI4" r:id="rId11" xr:uid="{00000000-0004-0000-0400-00000A000000}"/>
    <hyperlink ref="N5" r:id="rId12" xr:uid="{00000000-0004-0000-0400-00000B000000}"/>
    <hyperlink ref="T5" r:id="rId13" xr:uid="{00000000-0004-0000-0400-00000C000000}"/>
    <hyperlink ref="Z5" r:id="rId14" xr:uid="{00000000-0004-0000-0400-00000D000000}"/>
    <hyperlink ref="AI5" r:id="rId15" xr:uid="{00000000-0004-0000-0400-00000E000000}"/>
    <hyperlink ref="N6" r:id="rId16" xr:uid="{00000000-0004-0000-0400-00000F000000}"/>
    <hyperlink ref="T6" r:id="rId17" xr:uid="{00000000-0004-0000-0400-000010000000}"/>
    <hyperlink ref="Z6" r:id="rId18" xr:uid="{00000000-0004-0000-0400-000011000000}"/>
    <hyperlink ref="AI6" r:id="rId19" xr:uid="{00000000-0004-0000-0400-000012000000}"/>
    <hyperlink ref="N7" r:id="rId20" xr:uid="{00000000-0004-0000-0400-000013000000}"/>
    <hyperlink ref="T7" r:id="rId21" xr:uid="{00000000-0004-0000-0400-000014000000}"/>
    <hyperlink ref="Z7" r:id="rId22" xr:uid="{00000000-0004-0000-0400-000015000000}"/>
    <hyperlink ref="AF7" r:id="rId23" xr:uid="{00000000-0004-0000-0400-000016000000}"/>
    <hyperlink ref="AI7" r:id="rId24" xr:uid="{00000000-0004-0000-0400-000017000000}"/>
    <hyperlink ref="N8" r:id="rId25" xr:uid="{00000000-0004-0000-0400-000018000000}"/>
    <hyperlink ref="AI8" r:id="rId26" xr:uid="{00000000-0004-0000-0400-000019000000}"/>
    <hyperlink ref="N9" r:id="rId27" xr:uid="{00000000-0004-0000-0400-00001A000000}"/>
    <hyperlink ref="T9" r:id="rId28" xr:uid="{00000000-0004-0000-0400-00001B000000}"/>
    <hyperlink ref="AI9" r:id="rId29" xr:uid="{00000000-0004-0000-0400-00001C000000}"/>
    <hyperlink ref="N10" r:id="rId30" xr:uid="{00000000-0004-0000-0400-00001D000000}"/>
    <hyperlink ref="T10" r:id="rId31" xr:uid="{00000000-0004-0000-0400-00001E000000}"/>
    <hyperlink ref="N11" r:id="rId32" xr:uid="{00000000-0004-0000-0400-00001F000000}"/>
    <hyperlink ref="T11" r:id="rId33" xr:uid="{00000000-0004-0000-0400-000020000000}"/>
    <hyperlink ref="Z11" r:id="rId34" xr:uid="{00000000-0004-0000-0400-000021000000}"/>
    <hyperlink ref="AF11" r:id="rId35" xr:uid="{00000000-0004-0000-0400-000022000000}"/>
    <hyperlink ref="AI11" r:id="rId36" xr:uid="{00000000-0004-0000-0400-000023000000}"/>
    <hyperlink ref="N12" r:id="rId37" xr:uid="{00000000-0004-0000-0400-000024000000}"/>
    <hyperlink ref="Z12" r:id="rId38" xr:uid="{00000000-0004-0000-0400-000025000000}"/>
    <hyperlink ref="T12" r:id="rId39" xr:uid="{00000000-0004-0000-0400-000026000000}"/>
    <hyperlink ref="AF12" r:id="rId40" xr:uid="{00000000-0004-0000-0400-000027000000}"/>
    <hyperlink ref="AI12" r:id="rId41" xr:uid="{00000000-0004-0000-0400-000028000000}"/>
    <hyperlink ref="AI10" r:id="rId42" xr:uid="{00000000-0004-0000-0400-000029000000}"/>
    <hyperlink ref="AF8" r:id="rId43" xr:uid="{00000000-0004-0000-0400-00002A000000}"/>
    <hyperlink ref="Z8" r:id="rId44" xr:uid="{00000000-0004-0000-0400-00002B000000}"/>
    <hyperlink ref="T8" r:id="rId45" xr:uid="{00000000-0004-0000-0400-00002C000000}"/>
    <hyperlink ref="T13" r:id="rId46" xr:uid="{00000000-0004-0000-0400-00002D000000}"/>
    <hyperlink ref="Z13" r:id="rId47" xr:uid="{00000000-0004-0000-0400-00002E000000}"/>
    <hyperlink ref="AF13" r:id="rId48" xr:uid="{00000000-0004-0000-0400-00002F000000}"/>
    <hyperlink ref="AI13" r:id="rId49" xr:uid="{00000000-0004-0000-0400-000030000000}"/>
    <hyperlink ref="N14" r:id="rId50" xr:uid="{00000000-0004-0000-0400-000031000000}"/>
    <hyperlink ref="AI14" r:id="rId51" xr:uid="{00000000-0004-0000-0400-000032000000}"/>
    <hyperlink ref="N15" r:id="rId52" xr:uid="{00000000-0004-0000-0400-000033000000}"/>
    <hyperlink ref="AI15" r:id="rId53" xr:uid="{00000000-0004-0000-0400-000034000000}"/>
    <hyperlink ref="T16" r:id="rId54" xr:uid="{00000000-0004-0000-0400-000035000000}"/>
    <hyperlink ref="AI16" r:id="rId55" xr:uid="{00000000-0004-0000-0400-000036000000}"/>
    <hyperlink ref="N17" r:id="rId56" xr:uid="{00000000-0004-0000-0400-000037000000}"/>
    <hyperlink ref="AI17" r:id="rId57" xr:uid="{00000000-0004-0000-0400-000038000000}"/>
    <hyperlink ref="N18" r:id="rId58" xr:uid="{00000000-0004-0000-0400-000039000000}"/>
    <hyperlink ref="Z18" r:id="rId59" xr:uid="{00000000-0004-0000-0400-00003A000000}"/>
    <hyperlink ref="T18" r:id="rId60" xr:uid="{00000000-0004-0000-0400-00003B000000}"/>
    <hyperlink ref="AI18" r:id="rId61" xr:uid="{00000000-0004-0000-0400-00003C000000}"/>
    <hyperlink ref="T19" r:id="rId62" xr:uid="{00000000-0004-0000-0400-00003D000000}"/>
    <hyperlink ref="AI19" r:id="rId63" xr:uid="{00000000-0004-0000-0400-00003E000000}"/>
    <hyperlink ref="N20" r:id="rId64" xr:uid="{00000000-0004-0000-0400-00003F000000}"/>
    <hyperlink ref="T20" r:id="rId65" xr:uid="{00000000-0004-0000-0400-000040000000}"/>
    <hyperlink ref="AI20" r:id="rId66" xr:uid="{00000000-0004-0000-0400-000041000000}"/>
    <hyperlink ref="N21" r:id="rId67" xr:uid="{00000000-0004-0000-0400-000042000000}"/>
    <hyperlink ref="AI21" r:id="rId68" xr:uid="{00000000-0004-0000-0400-000043000000}"/>
    <hyperlink ref="T21" r:id="rId69" xr:uid="{00000000-0004-0000-0400-000044000000}"/>
    <hyperlink ref="T14" r:id="rId70" xr:uid="{00000000-0004-0000-0400-000045000000}"/>
    <hyperlink ref="T15" r:id="rId71" xr:uid="{00000000-0004-0000-0400-000046000000}"/>
    <hyperlink ref="T17" r:id="rId72" xr:uid="{00000000-0004-0000-0400-000047000000}"/>
    <hyperlink ref="T22" r:id="rId73" xr:uid="{00000000-0004-0000-0400-000048000000}"/>
    <hyperlink ref="Z22" r:id="rId74" xr:uid="{00000000-0004-0000-0400-000049000000}"/>
    <hyperlink ref="AI22" r:id="rId75" xr:uid="{00000000-0004-0000-0400-00004A000000}"/>
    <hyperlink ref="N23" r:id="rId76" xr:uid="{00000000-0004-0000-0400-00004B000000}"/>
    <hyperlink ref="T23" r:id="rId77" xr:uid="{00000000-0004-0000-0400-00004C000000}"/>
    <hyperlink ref="Z23" r:id="rId78" xr:uid="{00000000-0004-0000-0400-00004D000000}"/>
    <hyperlink ref="AI23" r:id="rId79" xr:uid="{00000000-0004-0000-0400-00004E000000}"/>
    <hyperlink ref="N24" r:id="rId80" xr:uid="{00000000-0004-0000-0400-00004F000000}"/>
    <hyperlink ref="Z24" r:id="rId81" xr:uid="{00000000-0004-0000-0400-000050000000}"/>
    <hyperlink ref="T24" r:id="rId82" xr:uid="{00000000-0004-0000-0400-000051000000}"/>
    <hyperlink ref="AI24" r:id="rId83" xr:uid="{00000000-0004-0000-0400-000052000000}"/>
    <hyperlink ref="N25" r:id="rId84" xr:uid="{00000000-0004-0000-0400-000053000000}"/>
    <hyperlink ref="T25" r:id="rId85" xr:uid="{00000000-0004-0000-0400-000054000000}"/>
    <hyperlink ref="Z25" r:id="rId86" xr:uid="{00000000-0004-0000-0400-000055000000}"/>
    <hyperlink ref="AI25" r:id="rId87" xr:uid="{00000000-0004-0000-0400-000056000000}"/>
    <hyperlink ref="N26" r:id="rId88" xr:uid="{00000000-0004-0000-0400-000057000000}"/>
    <hyperlink ref="T26" r:id="rId89" xr:uid="{00000000-0004-0000-0400-000058000000}"/>
    <hyperlink ref="Z26" r:id="rId90" xr:uid="{00000000-0004-0000-0400-000059000000}"/>
    <hyperlink ref="AF26" r:id="rId91" xr:uid="{00000000-0004-0000-0400-00005A000000}"/>
    <hyperlink ref="AI26" r:id="rId92" xr:uid="{00000000-0004-0000-0400-00005B000000}"/>
    <hyperlink ref="AF18" r:id="rId93" xr:uid="{00000000-0004-0000-0400-00005C000000}"/>
  </hyperlinks>
  <pageMargins left="0.7" right="0.7" top="0.75" bottom="0.75" header="0.3" footer="0.3"/>
  <pageSetup paperSize="9" orientation="portrait" r:id="rId94"/>
  <tableParts count="1">
    <tablePart r:id="rId9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4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4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4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2"/>
  <sheetViews>
    <sheetView topLeftCell="AA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2.42578125" bestFit="1" customWidth="1"/>
    <col min="4" max="4" width="59.140625" customWidth="1"/>
    <col min="5" max="5" width="55.42578125" customWidth="1"/>
    <col min="6" max="6" width="27.28515625" customWidth="1"/>
    <col min="7" max="7" width="23.42578125" customWidth="1"/>
    <col min="8" max="10" width="13.5703125" customWidth="1"/>
    <col min="11" max="11" width="24.140625" customWidth="1"/>
    <col min="12" max="12" width="52.42578125" customWidth="1"/>
    <col min="13" max="13" width="30.28515625" customWidth="1"/>
    <col min="14" max="14" width="38.5703125" bestFit="1" customWidth="1"/>
    <col min="15" max="15" width="12" bestFit="1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38.5703125" bestFit="1" customWidth="1"/>
    <col min="21" max="21" width="13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5.28515625" bestFit="1" customWidth="1"/>
    <col min="27" max="27" width="13" customWidth="1"/>
    <col min="28" max="28" width="11.85546875" customWidth="1"/>
    <col min="29" max="29" width="45.42578125" customWidth="1"/>
    <col min="30" max="30" width="32.7109375" customWidth="1"/>
    <col min="31" max="31" width="32.28515625" customWidth="1"/>
    <col min="32" max="32" width="33.42578125" bestFit="1" customWidth="1"/>
    <col min="33" max="33" width="13" customWidth="1"/>
    <col min="34" max="34" width="11.85546875" customWidth="1"/>
    <col min="35" max="35" width="87" customWidth="1"/>
  </cols>
  <sheetData>
    <row r="1" spans="1:36" s="4" customFormat="1" x14ac:dyDescent="0.2">
      <c r="A1" s="2" t="s">
        <v>9</v>
      </c>
      <c r="B1" s="24" t="s">
        <v>2817</v>
      </c>
      <c r="C1" s="24" t="s">
        <v>0</v>
      </c>
      <c r="D1" s="24" t="s">
        <v>59</v>
      </c>
      <c r="E1" s="24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4" t="s">
        <v>3</v>
      </c>
      <c r="M1" s="24" t="s">
        <v>5</v>
      </c>
      <c r="N1" s="24" t="s">
        <v>4</v>
      </c>
      <c r="O1" s="24" t="s">
        <v>8</v>
      </c>
      <c r="P1" s="8" t="s">
        <v>5277</v>
      </c>
      <c r="Q1" s="25" t="s">
        <v>1</v>
      </c>
      <c r="R1" s="26" t="s">
        <v>5281</v>
      </c>
      <c r="S1" s="26" t="s">
        <v>5282</v>
      </c>
      <c r="T1" s="26" t="s">
        <v>5283</v>
      </c>
      <c r="U1" s="27" t="s">
        <v>5284</v>
      </c>
      <c r="V1" s="8" t="s">
        <v>5278</v>
      </c>
      <c r="W1" s="25" t="s">
        <v>5285</v>
      </c>
      <c r="X1" s="26" t="s">
        <v>5286</v>
      </c>
      <c r="Y1" s="26" t="s">
        <v>5287</v>
      </c>
      <c r="Z1" s="26" t="s">
        <v>5288</v>
      </c>
      <c r="AA1" s="27" t="s">
        <v>5289</v>
      </c>
      <c r="AB1" s="8" t="s">
        <v>5279</v>
      </c>
      <c r="AC1" s="25" t="s">
        <v>5290</v>
      </c>
      <c r="AD1" s="26" t="s">
        <v>5291</v>
      </c>
      <c r="AE1" s="26" t="s">
        <v>5292</v>
      </c>
      <c r="AF1" s="26" t="s">
        <v>5293</v>
      </c>
      <c r="AG1" s="27" t="s">
        <v>5294</v>
      </c>
      <c r="AH1" s="4" t="s">
        <v>5280</v>
      </c>
      <c r="AI1" s="10" t="s">
        <v>1360</v>
      </c>
    </row>
    <row r="2" spans="1:36" x14ac:dyDescent="0.25">
      <c r="A2" s="1" t="s">
        <v>210</v>
      </c>
      <c r="B2" s="28" t="s">
        <v>2858</v>
      </c>
      <c r="C2" s="1" t="s">
        <v>1446</v>
      </c>
      <c r="D2" s="1" t="s">
        <v>1514</v>
      </c>
      <c r="E2" s="1" t="s">
        <v>1515</v>
      </c>
      <c r="F2" s="1" t="s">
        <v>4865</v>
      </c>
      <c r="G2" s="1" t="s">
        <v>4874</v>
      </c>
      <c r="H2" s="1" t="s">
        <v>4869</v>
      </c>
      <c r="I2" s="1" t="s">
        <v>4920</v>
      </c>
      <c r="J2" s="1" t="s">
        <v>4896</v>
      </c>
      <c r="K2" s="1" t="s">
        <v>4911</v>
      </c>
      <c r="L2" s="1" t="s">
        <v>1516</v>
      </c>
      <c r="M2" s="1">
        <v>8122012045</v>
      </c>
      <c r="N2" s="11" t="s">
        <v>1517</v>
      </c>
      <c r="O2" s="1">
        <v>8122012045</v>
      </c>
      <c r="P2" s="29"/>
      <c r="Q2" s="1" t="s">
        <v>1515</v>
      </c>
      <c r="R2" s="1" t="s">
        <v>1516</v>
      </c>
      <c r="S2" s="1">
        <v>8122012045</v>
      </c>
      <c r="T2" s="11" t="s">
        <v>1517</v>
      </c>
      <c r="U2" s="1">
        <v>8122012045</v>
      </c>
      <c r="V2" s="29"/>
      <c r="W2" s="1" t="s">
        <v>1518</v>
      </c>
      <c r="X2" s="1" t="s">
        <v>1519</v>
      </c>
      <c r="Y2" s="1">
        <v>8112776143</v>
      </c>
      <c r="Z2" s="11" t="s">
        <v>1520</v>
      </c>
      <c r="AA2" s="1">
        <v>8112776143</v>
      </c>
      <c r="AB2" s="29"/>
      <c r="AC2" s="1" t="s">
        <v>1521</v>
      </c>
      <c r="AD2" s="1" t="s">
        <v>1522</v>
      </c>
      <c r="AE2" s="1">
        <v>8110445410</v>
      </c>
      <c r="AF2" s="11" t="s">
        <v>1523</v>
      </c>
      <c r="AG2" s="1">
        <v>8110445410</v>
      </c>
      <c r="AH2" s="1"/>
      <c r="AI2" s="11" t="s">
        <v>1524</v>
      </c>
    </row>
    <row r="3" spans="1:36" x14ac:dyDescent="0.25">
      <c r="A3" s="1" t="s">
        <v>211</v>
      </c>
      <c r="B3" s="28" t="s">
        <v>2859</v>
      </c>
      <c r="C3" s="1" t="s">
        <v>2175</v>
      </c>
      <c r="D3" s="1" t="s">
        <v>2176</v>
      </c>
      <c r="E3" s="1" t="s">
        <v>2177</v>
      </c>
      <c r="F3" s="1" t="s">
        <v>4863</v>
      </c>
      <c r="G3" s="1" t="s">
        <v>4874</v>
      </c>
      <c r="H3" s="1" t="s">
        <v>4869</v>
      </c>
      <c r="I3" s="1" t="s">
        <v>4935</v>
      </c>
      <c r="J3" s="1" t="s">
        <v>4896</v>
      </c>
      <c r="K3" s="1" t="s">
        <v>4911</v>
      </c>
      <c r="L3" s="1" t="s">
        <v>1522</v>
      </c>
      <c r="M3" s="1">
        <v>8120018462</v>
      </c>
      <c r="N3" s="11" t="s">
        <v>2178</v>
      </c>
      <c r="O3" s="1">
        <v>8120018462</v>
      </c>
      <c r="P3" s="29"/>
      <c r="Q3" s="1" t="s">
        <v>2177</v>
      </c>
      <c r="R3" s="1" t="s">
        <v>1522</v>
      </c>
      <c r="S3" s="1">
        <v>8120018462</v>
      </c>
      <c r="T3" s="11" t="s">
        <v>2178</v>
      </c>
      <c r="U3" s="1">
        <v>8120018462</v>
      </c>
      <c r="V3" s="29"/>
      <c r="W3" s="1" t="s">
        <v>2179</v>
      </c>
      <c r="X3" s="1" t="s">
        <v>2180</v>
      </c>
      <c r="Y3" s="1">
        <v>8110024479</v>
      </c>
      <c r="Z3" s="11" t="s">
        <v>2181</v>
      </c>
      <c r="AA3" s="1">
        <v>8110024479</v>
      </c>
      <c r="AB3" s="29"/>
      <c r="AC3" s="1" t="s">
        <v>2182</v>
      </c>
      <c r="AD3" s="1" t="s">
        <v>2183</v>
      </c>
      <c r="AE3" s="1">
        <v>8115008940</v>
      </c>
      <c r="AF3" s="11" t="s">
        <v>2184</v>
      </c>
      <c r="AG3" s="1">
        <v>8115008940</v>
      </c>
      <c r="AH3" s="1"/>
      <c r="AI3" s="11" t="s">
        <v>2185</v>
      </c>
    </row>
    <row r="4" spans="1:36" x14ac:dyDescent="0.25">
      <c r="A4" s="1" t="s">
        <v>212</v>
      </c>
      <c r="B4" s="28" t="s">
        <v>2860</v>
      </c>
      <c r="C4" s="1" t="s">
        <v>2301</v>
      </c>
      <c r="D4" s="1" t="s">
        <v>2774</v>
      </c>
      <c r="E4" s="1" t="s">
        <v>2410</v>
      </c>
      <c r="F4" s="1" t="s">
        <v>4863</v>
      </c>
      <c r="G4" s="1" t="s">
        <v>4873</v>
      </c>
      <c r="H4" s="1" t="s">
        <v>4869</v>
      </c>
      <c r="I4" s="1" t="s">
        <v>4926</v>
      </c>
      <c r="J4" s="1" t="s">
        <v>4896</v>
      </c>
      <c r="K4" s="1" t="s">
        <v>4911</v>
      </c>
      <c r="L4" s="1" t="s">
        <v>2411</v>
      </c>
      <c r="M4" s="1">
        <v>8661070323</v>
      </c>
      <c r="N4" s="11" t="s">
        <v>2412</v>
      </c>
      <c r="O4" s="1">
        <v>8661070323</v>
      </c>
      <c r="P4" s="29"/>
      <c r="Q4" s="1" t="s">
        <v>2413</v>
      </c>
      <c r="R4" s="1" t="s">
        <v>2414</v>
      </c>
      <c r="S4" s="1">
        <v>8116706322</v>
      </c>
      <c r="T4" s="11" t="s">
        <v>2415</v>
      </c>
      <c r="U4" s="1">
        <v>8116706322</v>
      </c>
      <c r="V4" s="29"/>
      <c r="W4" s="1" t="s">
        <v>2416</v>
      </c>
      <c r="X4" s="1" t="s">
        <v>2417</v>
      </c>
      <c r="Y4" s="1">
        <v>8181119093</v>
      </c>
      <c r="Z4" s="11" t="s">
        <v>2418</v>
      </c>
      <c r="AA4" s="1">
        <v>8181119093</v>
      </c>
      <c r="AB4" s="29"/>
      <c r="AC4" s="1"/>
      <c r="AD4" s="1"/>
      <c r="AE4" s="1"/>
      <c r="AF4" s="1"/>
      <c r="AG4" s="1"/>
      <c r="AH4" s="1"/>
      <c r="AI4" s="11" t="s">
        <v>2419</v>
      </c>
    </row>
    <row r="5" spans="1:36" x14ac:dyDescent="0.25">
      <c r="A5" s="1" t="s">
        <v>213</v>
      </c>
      <c r="B5" s="18" t="s">
        <v>3994</v>
      </c>
      <c r="C5" s="1" t="s">
        <v>2259</v>
      </c>
      <c r="D5" s="1" t="s">
        <v>2420</v>
      </c>
      <c r="E5" s="1" t="s">
        <v>2421</v>
      </c>
      <c r="F5" s="1" t="s">
        <v>4864</v>
      </c>
      <c r="G5" s="1" t="s">
        <v>4873</v>
      </c>
      <c r="H5" s="1" t="s">
        <v>4869</v>
      </c>
      <c r="I5" s="1" t="s">
        <v>4936</v>
      </c>
      <c r="J5" s="1" t="s">
        <v>4896</v>
      </c>
      <c r="K5" s="1" t="s">
        <v>4937</v>
      </c>
      <c r="L5" s="1" t="s">
        <v>2422</v>
      </c>
      <c r="M5" s="1">
        <v>8131050468</v>
      </c>
      <c r="N5" s="11" t="s">
        <v>2423</v>
      </c>
      <c r="O5" s="1">
        <v>8131050468</v>
      </c>
      <c r="P5" s="29"/>
      <c r="Q5" s="1" t="s">
        <v>2421</v>
      </c>
      <c r="R5" s="1" t="s">
        <v>2422</v>
      </c>
      <c r="S5" s="1">
        <v>8131050468</v>
      </c>
      <c r="T5" s="11" t="s">
        <v>2423</v>
      </c>
      <c r="U5" s="1">
        <v>8131050468</v>
      </c>
      <c r="V5" s="29"/>
      <c r="W5" s="1" t="s">
        <v>2424</v>
      </c>
      <c r="X5" s="1" t="s">
        <v>2425</v>
      </c>
      <c r="Y5" s="1" t="s">
        <v>2426</v>
      </c>
      <c r="Z5" s="11" t="s">
        <v>2427</v>
      </c>
      <c r="AA5" s="1">
        <v>8128999669</v>
      </c>
      <c r="AB5" s="29"/>
      <c r="AC5" s="1"/>
      <c r="AD5" s="1"/>
      <c r="AE5" s="1"/>
      <c r="AF5" s="1"/>
      <c r="AG5" s="1"/>
      <c r="AH5" s="1"/>
      <c r="AI5" s="11" t="s">
        <v>2428</v>
      </c>
    </row>
    <row r="6" spans="1:36" x14ac:dyDescent="0.25">
      <c r="A6" s="1" t="s">
        <v>214</v>
      </c>
      <c r="B6" s="28" t="s">
        <v>2861</v>
      </c>
      <c r="C6" s="1" t="s">
        <v>2259</v>
      </c>
      <c r="D6" s="1" t="s">
        <v>2429</v>
      </c>
      <c r="E6" s="1" t="s">
        <v>2430</v>
      </c>
      <c r="F6" s="1" t="s">
        <v>4863</v>
      </c>
      <c r="G6" s="1" t="s">
        <v>4873</v>
      </c>
      <c r="H6" s="1" t="s">
        <v>4869</v>
      </c>
      <c r="I6" s="1" t="s">
        <v>4926</v>
      </c>
      <c r="J6" s="1" t="s">
        <v>4896</v>
      </c>
      <c r="K6" s="1" t="s">
        <v>4937</v>
      </c>
      <c r="L6" s="1" t="s">
        <v>2431</v>
      </c>
      <c r="M6" s="1">
        <v>818100975</v>
      </c>
      <c r="N6" s="11" t="s">
        <v>2432</v>
      </c>
      <c r="O6" s="1">
        <v>8116139953</v>
      </c>
      <c r="P6" s="29"/>
      <c r="Q6" s="1" t="s">
        <v>2433</v>
      </c>
      <c r="R6" s="1" t="s">
        <v>2434</v>
      </c>
      <c r="S6" s="1">
        <v>8181009969</v>
      </c>
      <c r="T6" s="11" t="s">
        <v>2435</v>
      </c>
      <c r="U6" s="1">
        <v>8114745765</v>
      </c>
      <c r="V6" s="29"/>
      <c r="W6" s="1" t="s">
        <v>2430</v>
      </c>
      <c r="X6" s="1" t="s">
        <v>2431</v>
      </c>
      <c r="Y6" s="1">
        <v>818100975</v>
      </c>
      <c r="Z6" s="11" t="s">
        <v>2432</v>
      </c>
      <c r="AA6" s="1">
        <v>8116139953</v>
      </c>
      <c r="AB6" s="29"/>
      <c r="AC6" s="1" t="s">
        <v>2436</v>
      </c>
      <c r="AD6" s="1" t="s">
        <v>2437</v>
      </c>
      <c r="AE6" s="1">
        <v>8181009972</v>
      </c>
      <c r="AF6" s="11" t="s">
        <v>2438</v>
      </c>
      <c r="AG6" s="1">
        <v>8182805324</v>
      </c>
      <c r="AH6" s="1"/>
      <c r="AI6" s="11" t="s">
        <v>2439</v>
      </c>
    </row>
    <row r="7" spans="1:36" x14ac:dyDescent="0.25">
      <c r="A7" s="1" t="s">
        <v>215</v>
      </c>
      <c r="B7" s="18" t="s">
        <v>3920</v>
      </c>
      <c r="C7" s="1" t="s">
        <v>2993</v>
      </c>
      <c r="D7" s="1" t="s">
        <v>2994</v>
      </c>
      <c r="E7" s="1" t="s">
        <v>2995</v>
      </c>
      <c r="F7" s="1" t="s">
        <v>4865</v>
      </c>
      <c r="G7" s="1" t="s">
        <v>4874</v>
      </c>
      <c r="H7" s="1" t="s">
        <v>4869</v>
      </c>
      <c r="I7" s="1" t="s">
        <v>4920</v>
      </c>
      <c r="J7" s="1" t="s">
        <v>4896</v>
      </c>
      <c r="K7" s="1" t="s">
        <v>4924</v>
      </c>
      <c r="L7" s="1" t="s">
        <v>1745</v>
      </c>
      <c r="M7" s="1">
        <v>8126047494</v>
      </c>
      <c r="N7" s="11" t="s">
        <v>2996</v>
      </c>
      <c r="O7" s="1">
        <v>8126047494</v>
      </c>
      <c r="P7" s="29"/>
      <c r="Q7" s="1" t="s">
        <v>2995</v>
      </c>
      <c r="R7" s="1" t="s">
        <v>1745</v>
      </c>
      <c r="S7" s="1">
        <v>8126047494</v>
      </c>
      <c r="T7" s="11" t="s">
        <v>2996</v>
      </c>
      <c r="U7" s="1">
        <v>8126047494</v>
      </c>
      <c r="V7" s="29"/>
      <c r="W7" s="1"/>
      <c r="X7" s="1"/>
      <c r="Y7" s="1"/>
      <c r="Z7" s="1"/>
      <c r="AA7" s="1"/>
      <c r="AB7" s="29"/>
      <c r="AC7" s="1"/>
      <c r="AD7" s="1"/>
      <c r="AE7" s="1"/>
      <c r="AF7" s="1"/>
      <c r="AG7" s="1"/>
      <c r="AH7" s="1"/>
      <c r="AI7" s="11" t="s">
        <v>3772</v>
      </c>
    </row>
    <row r="8" spans="1:36" x14ac:dyDescent="0.25">
      <c r="A8" s="1" t="s">
        <v>216</v>
      </c>
      <c r="B8" s="18" t="s">
        <v>3919</v>
      </c>
      <c r="C8" s="1" t="s">
        <v>2943</v>
      </c>
      <c r="D8" s="1" t="s">
        <v>2997</v>
      </c>
      <c r="E8" s="1" t="s">
        <v>2998</v>
      </c>
      <c r="F8" s="1" t="s">
        <v>4867</v>
      </c>
      <c r="G8" s="1" t="s">
        <v>4875</v>
      </c>
      <c r="H8" s="1" t="s">
        <v>4869</v>
      </c>
      <c r="I8" s="1" t="s">
        <v>4920</v>
      </c>
      <c r="J8" s="1" t="s">
        <v>4896</v>
      </c>
      <c r="K8" s="1" t="s">
        <v>4924</v>
      </c>
      <c r="L8" s="1" t="s">
        <v>1745</v>
      </c>
      <c r="M8" s="1">
        <v>8135510113</v>
      </c>
      <c r="N8" s="11" t="s">
        <v>2999</v>
      </c>
      <c r="O8" s="1">
        <v>8135510113</v>
      </c>
      <c r="P8" s="29"/>
      <c r="Q8" s="1" t="s">
        <v>3000</v>
      </c>
      <c r="R8" s="1" t="s">
        <v>3001</v>
      </c>
      <c r="S8" s="1">
        <v>8119108810</v>
      </c>
      <c r="T8" s="11" t="s">
        <v>3002</v>
      </c>
      <c r="U8" s="1">
        <v>8119108810</v>
      </c>
      <c r="V8" s="29"/>
      <c r="W8" s="1" t="s">
        <v>2998</v>
      </c>
      <c r="X8" s="1" t="s">
        <v>1745</v>
      </c>
      <c r="Y8" s="1">
        <v>8135510113</v>
      </c>
      <c r="Z8" s="11" t="s">
        <v>2999</v>
      </c>
      <c r="AA8" s="1">
        <v>8135510113</v>
      </c>
      <c r="AB8" s="29"/>
      <c r="AC8" s="1"/>
      <c r="AD8" s="1"/>
      <c r="AE8" s="1"/>
      <c r="AF8" s="1"/>
      <c r="AG8" s="1"/>
      <c r="AH8" s="1"/>
      <c r="AI8" s="11" t="s">
        <v>3773</v>
      </c>
    </row>
    <row r="9" spans="1:36" x14ac:dyDescent="0.25">
      <c r="A9" s="1" t="s">
        <v>217</v>
      </c>
      <c r="B9" s="18" t="s">
        <v>3918</v>
      </c>
      <c r="C9" s="1" t="s">
        <v>3003</v>
      </c>
      <c r="D9" s="1" t="s">
        <v>3004</v>
      </c>
      <c r="E9" s="1" t="s">
        <v>3005</v>
      </c>
      <c r="F9" s="1" t="s">
        <v>4863</v>
      </c>
      <c r="G9" s="1" t="s">
        <v>4872</v>
      </c>
      <c r="H9" s="1" t="s">
        <v>4869</v>
      </c>
      <c r="I9" s="1" t="s">
        <v>4926</v>
      </c>
      <c r="J9" s="1" t="s">
        <v>4896</v>
      </c>
      <c r="K9" s="1" t="s">
        <v>4911</v>
      </c>
      <c r="L9" s="1" t="s">
        <v>1482</v>
      </c>
      <c r="M9" s="1">
        <v>8182548990</v>
      </c>
      <c r="N9" s="11" t="s">
        <v>3006</v>
      </c>
      <c r="O9" s="1">
        <v>8182548990</v>
      </c>
      <c r="P9" s="29"/>
      <c r="Q9" s="1" t="s">
        <v>3005</v>
      </c>
      <c r="R9" s="1" t="s">
        <v>1482</v>
      </c>
      <c r="S9" s="1">
        <v>8182548990</v>
      </c>
      <c r="T9" s="11" t="s">
        <v>3006</v>
      </c>
      <c r="U9" s="1">
        <v>8182548990</v>
      </c>
      <c r="V9" s="29"/>
      <c r="W9" s="1" t="s">
        <v>3007</v>
      </c>
      <c r="X9" s="1" t="s">
        <v>2693</v>
      </c>
      <c r="Y9" s="1">
        <v>8111697262</v>
      </c>
      <c r="Z9" s="11" t="s">
        <v>3008</v>
      </c>
      <c r="AA9" s="1">
        <v>8111697262</v>
      </c>
      <c r="AB9" s="29"/>
      <c r="AC9" s="1" t="s">
        <v>3009</v>
      </c>
      <c r="AD9" s="1" t="s">
        <v>3010</v>
      </c>
      <c r="AE9" s="1">
        <v>8116833211</v>
      </c>
      <c r="AF9" s="11" t="s">
        <v>3011</v>
      </c>
      <c r="AG9" s="1">
        <v>8116833211</v>
      </c>
      <c r="AH9" s="1"/>
      <c r="AI9" s="11" t="s">
        <v>3774</v>
      </c>
    </row>
    <row r="10" spans="1:36" x14ac:dyDescent="0.25">
      <c r="A10" s="1" t="s">
        <v>218</v>
      </c>
      <c r="B10" s="18" t="s">
        <v>3917</v>
      </c>
      <c r="C10" s="1" t="s">
        <v>3482</v>
      </c>
      <c r="D10" s="1" t="s">
        <v>3483</v>
      </c>
      <c r="E10" s="1" t="s">
        <v>3484</v>
      </c>
      <c r="F10" s="1" t="s">
        <v>4863</v>
      </c>
      <c r="G10" s="1" t="s">
        <v>4873</v>
      </c>
      <c r="H10" s="1" t="s">
        <v>4869</v>
      </c>
      <c r="I10" s="1" t="s">
        <v>4925</v>
      </c>
      <c r="J10" s="1" t="s">
        <v>4896</v>
      </c>
      <c r="K10" s="1" t="s">
        <v>4911</v>
      </c>
      <c r="L10" s="1" t="s">
        <v>2431</v>
      </c>
      <c r="M10" s="1">
        <v>8183313113</v>
      </c>
      <c r="N10" s="11" t="s">
        <v>3485</v>
      </c>
      <c r="O10" s="1">
        <v>8117649927</v>
      </c>
      <c r="P10" s="29"/>
      <c r="Q10" s="1" t="s">
        <v>3484</v>
      </c>
      <c r="R10" s="1" t="s">
        <v>2431</v>
      </c>
      <c r="S10" s="1">
        <v>8183313113</v>
      </c>
      <c r="T10" s="1" t="s">
        <v>3485</v>
      </c>
      <c r="U10" s="1">
        <v>8117649927</v>
      </c>
      <c r="V10" s="29"/>
      <c r="W10" s="1" t="s">
        <v>3486</v>
      </c>
      <c r="X10" s="1" t="s">
        <v>3487</v>
      </c>
      <c r="Y10" s="1">
        <v>8133313113</v>
      </c>
      <c r="Z10" s="11" t="s">
        <v>3488</v>
      </c>
      <c r="AA10" s="1">
        <v>8118484462</v>
      </c>
      <c r="AB10" s="29"/>
      <c r="AC10" s="1"/>
      <c r="AD10" s="1"/>
      <c r="AE10" s="1"/>
      <c r="AF10" s="1"/>
      <c r="AG10" s="1"/>
      <c r="AH10" s="1"/>
      <c r="AI10" s="11" t="s">
        <v>3833</v>
      </c>
      <c r="AJ10" s="17"/>
    </row>
    <row r="11" spans="1:36" x14ac:dyDescent="0.25">
      <c r="A11" s="1" t="s">
        <v>219</v>
      </c>
      <c r="B11" s="1"/>
      <c r="C11" s="1" t="s">
        <v>4192</v>
      </c>
      <c r="D11" s="1" t="s">
        <v>4262</v>
      </c>
      <c r="E11" s="1" t="s">
        <v>4263</v>
      </c>
      <c r="F11" s="1" t="s">
        <v>4863</v>
      </c>
      <c r="G11" s="1" t="s">
        <v>4872</v>
      </c>
      <c r="H11" s="1" t="s">
        <v>4869</v>
      </c>
      <c r="I11" s="1" t="s">
        <v>5009</v>
      </c>
      <c r="J11" s="1" t="s">
        <v>4896</v>
      </c>
      <c r="K11" s="1" t="s">
        <v>4911</v>
      </c>
      <c r="L11" s="1" t="s">
        <v>1482</v>
      </c>
      <c r="M11" s="1">
        <v>8211192729</v>
      </c>
      <c r="N11" s="11" t="s">
        <v>4264</v>
      </c>
      <c r="O11" s="1">
        <v>8211192729</v>
      </c>
      <c r="P11" s="1"/>
      <c r="Q11" s="1" t="s">
        <v>4263</v>
      </c>
      <c r="R11" s="1" t="s">
        <v>1482</v>
      </c>
      <c r="S11" s="1">
        <v>8211192729</v>
      </c>
      <c r="T11" s="11" t="s">
        <v>4264</v>
      </c>
      <c r="U11" s="1">
        <v>8211192729</v>
      </c>
      <c r="V11" s="9"/>
      <c r="W11" s="1" t="s">
        <v>4265</v>
      </c>
      <c r="X11" s="1" t="s">
        <v>1989</v>
      </c>
      <c r="Y11" s="1">
        <v>8211190153</v>
      </c>
      <c r="Z11" s="11" t="s">
        <v>4266</v>
      </c>
      <c r="AA11" s="1">
        <v>8211190153</v>
      </c>
      <c r="AB11" s="1"/>
      <c r="AC11" s="1"/>
      <c r="AD11" s="1"/>
      <c r="AE11" s="1"/>
      <c r="AF11" s="1"/>
      <c r="AG11" s="1"/>
      <c r="AH11" s="1"/>
      <c r="AI11" s="11" t="s">
        <v>4267</v>
      </c>
    </row>
    <row r="12" spans="1:36" x14ac:dyDescent="0.25">
      <c r="A12" s="1" t="s">
        <v>220</v>
      </c>
      <c r="B12" s="23"/>
      <c r="C12" s="23" t="s">
        <v>3182</v>
      </c>
      <c r="D12" s="23" t="s">
        <v>4268</v>
      </c>
      <c r="E12" s="23" t="s">
        <v>4269</v>
      </c>
      <c r="F12" s="23" t="s">
        <v>4863</v>
      </c>
      <c r="G12" s="23" t="s">
        <v>4872</v>
      </c>
      <c r="H12" s="23" t="s">
        <v>4869</v>
      </c>
      <c r="I12" s="23" t="s">
        <v>5009</v>
      </c>
      <c r="J12" s="23" t="s">
        <v>4896</v>
      </c>
      <c r="K12" s="23" t="s">
        <v>4911</v>
      </c>
      <c r="L12" s="23" t="s">
        <v>1615</v>
      </c>
      <c r="M12" s="23">
        <v>8261319558</v>
      </c>
      <c r="N12" s="34" t="s">
        <v>4270</v>
      </c>
      <c r="O12" s="23">
        <v>8261012283</v>
      </c>
      <c r="P12" s="9"/>
      <c r="Q12" s="23" t="s">
        <v>4269</v>
      </c>
      <c r="R12" s="23" t="s">
        <v>1615</v>
      </c>
      <c r="S12" s="23">
        <v>8261319558</v>
      </c>
      <c r="T12" s="34" t="s">
        <v>4270</v>
      </c>
      <c r="U12" s="23">
        <v>8261012283</v>
      </c>
      <c r="V12" s="9"/>
      <c r="W12" s="23"/>
      <c r="X12" s="23"/>
      <c r="Y12" s="23"/>
      <c r="Z12" s="23"/>
      <c r="AA12" s="23"/>
      <c r="AB12" s="9"/>
      <c r="AC12" s="23"/>
      <c r="AD12" s="23"/>
      <c r="AE12" s="23"/>
      <c r="AF12" s="23"/>
      <c r="AG12" s="23"/>
      <c r="AI12" s="34" t="s">
        <v>4271</v>
      </c>
    </row>
    <row r="13" spans="1:36" x14ac:dyDescent="0.25">
      <c r="A13" s="1" t="s">
        <v>221</v>
      </c>
      <c r="B13" s="18" t="s">
        <v>4473</v>
      </c>
      <c r="C13" s="1" t="s">
        <v>4375</v>
      </c>
      <c r="D13" s="1" t="s">
        <v>4472</v>
      </c>
      <c r="E13" s="1" t="s">
        <v>4474</v>
      </c>
      <c r="F13" s="1" t="s">
        <v>4865</v>
      </c>
      <c r="G13" s="1" t="s">
        <v>4875</v>
      </c>
      <c r="H13" s="1" t="s">
        <v>4869</v>
      </c>
      <c r="I13" s="1" t="s">
        <v>5010</v>
      </c>
      <c r="J13" s="1" t="s">
        <v>4896</v>
      </c>
      <c r="K13" s="1" t="s">
        <v>4911</v>
      </c>
      <c r="L13" s="1" t="s">
        <v>1461</v>
      </c>
      <c r="M13" s="1" t="s">
        <v>4469</v>
      </c>
      <c r="N13" s="11" t="s">
        <v>4475</v>
      </c>
      <c r="O13" s="1">
        <v>8181808557</v>
      </c>
      <c r="P13" s="9"/>
      <c r="Q13" s="1" t="s">
        <v>4474</v>
      </c>
      <c r="R13" s="1" t="s">
        <v>1461</v>
      </c>
      <c r="S13" s="1" t="s">
        <v>4469</v>
      </c>
      <c r="T13" s="11" t="s">
        <v>4475</v>
      </c>
      <c r="U13" s="1">
        <v>8181808557</v>
      </c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1" t="s">
        <v>4476</v>
      </c>
    </row>
    <row r="14" spans="1:36" x14ac:dyDescent="0.25">
      <c r="A14" s="1" t="s">
        <v>222</v>
      </c>
      <c r="B14" s="1"/>
      <c r="C14" s="1" t="s">
        <v>4273</v>
      </c>
      <c r="D14" s="1" t="s">
        <v>4568</v>
      </c>
      <c r="E14" s="1" t="s">
        <v>4569</v>
      </c>
      <c r="F14" s="1" t="s">
        <v>4865</v>
      </c>
      <c r="G14" s="1" t="s">
        <v>4874</v>
      </c>
      <c r="H14" s="1" t="s">
        <v>4869</v>
      </c>
      <c r="I14" s="1" t="s">
        <v>4949</v>
      </c>
      <c r="J14" s="1" t="s">
        <v>4896</v>
      </c>
      <c r="K14" s="1" t="s">
        <v>4911</v>
      </c>
      <c r="L14" s="1" t="s">
        <v>1398</v>
      </c>
      <c r="M14" s="1" t="s">
        <v>1398</v>
      </c>
      <c r="N14" s="1" t="s">
        <v>1398</v>
      </c>
      <c r="O14" s="1" t="s">
        <v>1398</v>
      </c>
      <c r="P14" s="9"/>
      <c r="Q14" s="1" t="s">
        <v>4570</v>
      </c>
      <c r="R14" s="1" t="s">
        <v>4571</v>
      </c>
      <c r="S14" s="1">
        <v>8126385589</v>
      </c>
      <c r="T14" s="11" t="s">
        <v>4572</v>
      </c>
      <c r="U14" s="1">
        <v>8126385589</v>
      </c>
      <c r="V14" s="9"/>
      <c r="W14" s="1" t="s">
        <v>4573</v>
      </c>
      <c r="X14" s="1" t="s">
        <v>3874</v>
      </c>
      <c r="Y14" s="1" t="s">
        <v>1398</v>
      </c>
      <c r="Z14" s="11" t="s">
        <v>4574</v>
      </c>
      <c r="AA14" s="1">
        <v>8115876303</v>
      </c>
      <c r="AB14" s="9"/>
      <c r="AC14" s="1" t="s">
        <v>4575</v>
      </c>
      <c r="AD14" s="1" t="s">
        <v>1461</v>
      </c>
      <c r="AE14" s="1">
        <v>8117940380</v>
      </c>
      <c r="AF14" s="11" t="s">
        <v>4576</v>
      </c>
      <c r="AG14" s="1">
        <v>8117940380</v>
      </c>
      <c r="AI14" s="11" t="s">
        <v>4577</v>
      </c>
    </row>
    <row r="15" spans="1:36" x14ac:dyDescent="0.25">
      <c r="A15" s="1" t="s">
        <v>223</v>
      </c>
      <c r="B15" s="18" t="s">
        <v>4665</v>
      </c>
      <c r="C15" s="1" t="s">
        <v>4490</v>
      </c>
      <c r="D15" s="1" t="s">
        <v>4613</v>
      </c>
      <c r="E15" s="1" t="s">
        <v>1398</v>
      </c>
      <c r="F15" s="1" t="s">
        <v>4863</v>
      </c>
      <c r="G15" s="1" t="s">
        <v>4874</v>
      </c>
      <c r="H15" s="1" t="s">
        <v>4869</v>
      </c>
      <c r="I15" s="1" t="s">
        <v>4926</v>
      </c>
      <c r="J15" s="1" t="s">
        <v>4896</v>
      </c>
      <c r="K15" s="1" t="s">
        <v>4911</v>
      </c>
      <c r="L15" s="1" t="s">
        <v>1398</v>
      </c>
      <c r="M15" s="1" t="s">
        <v>1398</v>
      </c>
      <c r="N15" s="1" t="s">
        <v>1398</v>
      </c>
      <c r="O15" s="1" t="s">
        <v>1398</v>
      </c>
      <c r="P15" s="9"/>
      <c r="Q15" s="1" t="s">
        <v>4614</v>
      </c>
      <c r="R15" s="1" t="s">
        <v>1461</v>
      </c>
      <c r="S15" s="1">
        <v>8180951673</v>
      </c>
      <c r="T15" s="11" t="s">
        <v>4615</v>
      </c>
      <c r="U15" s="1">
        <v>8180951673</v>
      </c>
      <c r="V15" s="9"/>
      <c r="W15" s="1" t="s">
        <v>4616</v>
      </c>
      <c r="X15" s="1" t="s">
        <v>4617</v>
      </c>
      <c r="Y15" s="1">
        <v>8114946680</v>
      </c>
      <c r="Z15" s="11" t="s">
        <v>4618</v>
      </c>
      <c r="AA15" s="1">
        <v>8114946680</v>
      </c>
      <c r="AB15" s="9"/>
      <c r="AC15" s="1" t="s">
        <v>4619</v>
      </c>
      <c r="AD15" s="1" t="s">
        <v>1673</v>
      </c>
      <c r="AE15" s="1">
        <v>8119043192</v>
      </c>
      <c r="AF15" s="11" t="s">
        <v>4620</v>
      </c>
      <c r="AG15" s="1">
        <v>8119043192</v>
      </c>
      <c r="AI15" s="11" t="s">
        <v>4621</v>
      </c>
    </row>
    <row r="16" spans="1:36" x14ac:dyDescent="0.25">
      <c r="A16" s="1" t="s">
        <v>224</v>
      </c>
      <c r="B16" s="18" t="s">
        <v>4959</v>
      </c>
      <c r="C16" s="1" t="s">
        <v>4716</v>
      </c>
      <c r="D16" s="1" t="s">
        <v>4715</v>
      </c>
      <c r="E16" s="1" t="s">
        <v>4717</v>
      </c>
      <c r="F16" s="1" t="s">
        <v>4867</v>
      </c>
      <c r="G16" s="1" t="s">
        <v>4875</v>
      </c>
      <c r="H16" s="1" t="s">
        <v>4869</v>
      </c>
      <c r="I16" s="1" t="s">
        <v>5019</v>
      </c>
      <c r="J16" s="1" t="s">
        <v>4896</v>
      </c>
      <c r="K16" s="1" t="s">
        <v>4911</v>
      </c>
      <c r="L16" s="1" t="s">
        <v>4718</v>
      </c>
      <c r="M16" s="1">
        <v>8115547589</v>
      </c>
      <c r="N16" s="11" t="s">
        <v>4719</v>
      </c>
      <c r="O16" s="1">
        <v>8117902340</v>
      </c>
      <c r="P16" s="9"/>
      <c r="Q16" s="1" t="s">
        <v>4717</v>
      </c>
      <c r="R16" s="1" t="s">
        <v>4718</v>
      </c>
      <c r="S16" s="1">
        <v>8115547589</v>
      </c>
      <c r="T16" s="11" t="s">
        <v>4719</v>
      </c>
      <c r="U16" s="1">
        <v>8117902340</v>
      </c>
      <c r="V16" s="9"/>
      <c r="W16" s="1" t="s">
        <v>4720</v>
      </c>
      <c r="X16" s="1" t="s">
        <v>4721</v>
      </c>
      <c r="Y16" s="1">
        <v>8115517026</v>
      </c>
      <c r="Z16" s="11" t="s">
        <v>4722</v>
      </c>
      <c r="AA16" s="1">
        <v>8131603390</v>
      </c>
      <c r="AB16" s="9"/>
      <c r="AC16" s="1" t="s">
        <v>4723</v>
      </c>
      <c r="AD16" s="1" t="s">
        <v>4724</v>
      </c>
      <c r="AE16" s="1">
        <v>8115517026</v>
      </c>
      <c r="AF16" s="11" t="s">
        <v>4725</v>
      </c>
      <c r="AG16" s="1" t="s">
        <v>1398</v>
      </c>
      <c r="AI16" s="11" t="s">
        <v>4726</v>
      </c>
    </row>
    <row r="17" spans="1:35" x14ac:dyDescent="0.25">
      <c r="A17" s="1" t="s">
        <v>225</v>
      </c>
      <c r="B17" s="18" t="s">
        <v>4960</v>
      </c>
      <c r="C17" s="1" t="s">
        <v>4716</v>
      </c>
      <c r="D17" s="1" t="s">
        <v>4727</v>
      </c>
      <c r="E17" s="1" t="s">
        <v>4728</v>
      </c>
      <c r="F17" s="1" t="s">
        <v>4863</v>
      </c>
      <c r="G17" s="1" t="s">
        <v>4875</v>
      </c>
      <c r="H17" s="1" t="s">
        <v>4869</v>
      </c>
      <c r="I17" s="1" t="s">
        <v>4921</v>
      </c>
      <c r="J17" s="1" t="s">
        <v>4896</v>
      </c>
      <c r="K17" s="1" t="s">
        <v>4911</v>
      </c>
      <c r="L17" s="1" t="s">
        <v>2954</v>
      </c>
      <c r="M17" s="1">
        <v>8116890270</v>
      </c>
      <c r="N17" s="11" t="s">
        <v>4729</v>
      </c>
      <c r="O17" s="1">
        <v>8116890270</v>
      </c>
      <c r="P17" s="9"/>
      <c r="Q17" s="1" t="s">
        <v>4728</v>
      </c>
      <c r="R17" s="1" t="s">
        <v>2954</v>
      </c>
      <c r="S17" s="1">
        <v>8116890270</v>
      </c>
      <c r="T17" s="11" t="s">
        <v>4729</v>
      </c>
      <c r="U17" s="1">
        <v>8116890270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4730</v>
      </c>
    </row>
    <row r="18" spans="1:35" x14ac:dyDescent="0.25">
      <c r="A18" s="1" t="s">
        <v>226</v>
      </c>
      <c r="B18" s="1"/>
      <c r="C18" s="1" t="s">
        <v>5247</v>
      </c>
      <c r="D18" s="1" t="s">
        <v>5246</v>
      </c>
      <c r="E18" s="1" t="s">
        <v>5248</v>
      </c>
      <c r="F18" s="1" t="s">
        <v>4865</v>
      </c>
      <c r="G18" s="1" t="s">
        <v>4874</v>
      </c>
      <c r="H18" s="1" t="s">
        <v>4869</v>
      </c>
      <c r="I18" s="1" t="s">
        <v>5259</v>
      </c>
      <c r="J18" s="1" t="s">
        <v>4896</v>
      </c>
      <c r="K18" s="1" t="s">
        <v>4911</v>
      </c>
      <c r="L18" s="1" t="s">
        <v>5249</v>
      </c>
      <c r="M18" s="1">
        <v>8125167101</v>
      </c>
      <c r="N18" s="11" t="s">
        <v>5250</v>
      </c>
      <c r="O18" s="1">
        <v>8125167101</v>
      </c>
      <c r="P18" s="9"/>
      <c r="Q18" s="1" t="s">
        <v>5248</v>
      </c>
      <c r="R18" s="1" t="s">
        <v>5249</v>
      </c>
      <c r="S18" s="1">
        <v>8125167101</v>
      </c>
      <c r="T18" s="11" t="s">
        <v>5250</v>
      </c>
      <c r="U18" s="1">
        <v>8125167101</v>
      </c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1" t="s">
        <v>5270</v>
      </c>
    </row>
    <row r="19" spans="1:35" x14ac:dyDescent="0.25">
      <c r="A19" s="1" t="s">
        <v>227</v>
      </c>
      <c r="B19" s="18" t="s">
        <v>5264</v>
      </c>
      <c r="C19" s="1" t="s">
        <v>5138</v>
      </c>
      <c r="D19" s="1" t="s">
        <v>5263</v>
      </c>
      <c r="E19" s="1" t="s">
        <v>5265</v>
      </c>
      <c r="F19" s="1"/>
      <c r="G19" s="1"/>
      <c r="H19" s="1"/>
      <c r="I19" s="1"/>
      <c r="J19" s="1"/>
      <c r="K19" s="1"/>
      <c r="L19" s="1" t="s">
        <v>3473</v>
      </c>
      <c r="M19" s="1">
        <v>8116961547</v>
      </c>
      <c r="N19" s="11" t="s">
        <v>5266</v>
      </c>
      <c r="O19" s="1">
        <v>8116961547</v>
      </c>
      <c r="P19" s="9"/>
      <c r="Q19" s="1" t="s">
        <v>5267</v>
      </c>
      <c r="R19" s="1" t="s">
        <v>1522</v>
      </c>
      <c r="S19" s="1">
        <v>8117821810</v>
      </c>
      <c r="T19" s="11" t="s">
        <v>5268</v>
      </c>
      <c r="U19" s="1">
        <v>8117821810</v>
      </c>
      <c r="V19" s="9"/>
      <c r="W19" s="1" t="s">
        <v>5265</v>
      </c>
      <c r="X19" s="1" t="s">
        <v>3473</v>
      </c>
      <c r="Y19" s="1">
        <v>8116961547</v>
      </c>
      <c r="Z19" s="11" t="s">
        <v>5266</v>
      </c>
      <c r="AA19" s="1">
        <v>8116961547</v>
      </c>
      <c r="AB19" s="9"/>
      <c r="AC19" s="1"/>
      <c r="AD19" s="1"/>
      <c r="AE19" s="1"/>
      <c r="AF19" s="1"/>
      <c r="AG19" s="1"/>
      <c r="AI19" s="11" t="s">
        <v>5269</v>
      </c>
    </row>
    <row r="20" spans="1:35" x14ac:dyDescent="0.25">
      <c r="A20" s="1" t="s">
        <v>228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229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230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231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232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233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234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235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236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237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238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239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240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241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242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243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244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245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246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247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248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249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250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251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252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253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254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255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256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257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258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259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SUBTOTAL(103,Tabla8[ARCHIVO])</f>
        <v>18</v>
      </c>
    </row>
  </sheetData>
  <hyperlinks>
    <hyperlink ref="N2" r:id="rId1" xr:uid="{00000000-0004-0000-0500-000000000000}"/>
    <hyperlink ref="T2" r:id="rId2" xr:uid="{00000000-0004-0000-0500-000001000000}"/>
    <hyperlink ref="Z2" r:id="rId3" xr:uid="{00000000-0004-0000-0500-000002000000}"/>
    <hyperlink ref="AF2" r:id="rId4" xr:uid="{00000000-0004-0000-0500-000003000000}"/>
    <hyperlink ref="AI2" r:id="rId5" xr:uid="{00000000-0004-0000-0500-000004000000}"/>
    <hyperlink ref="N3" r:id="rId6" xr:uid="{00000000-0004-0000-0500-000005000000}"/>
    <hyperlink ref="T3" r:id="rId7" xr:uid="{00000000-0004-0000-0500-000006000000}"/>
    <hyperlink ref="Z3" r:id="rId8" xr:uid="{00000000-0004-0000-0500-000007000000}"/>
    <hyperlink ref="AF3" r:id="rId9" xr:uid="{00000000-0004-0000-0500-000008000000}"/>
    <hyperlink ref="AI3" r:id="rId10" xr:uid="{00000000-0004-0000-0500-000009000000}"/>
    <hyperlink ref="N4" r:id="rId11" xr:uid="{00000000-0004-0000-0500-00000A000000}"/>
    <hyperlink ref="T4" r:id="rId12" xr:uid="{00000000-0004-0000-0500-00000B000000}"/>
    <hyperlink ref="Z4" r:id="rId13" xr:uid="{00000000-0004-0000-0500-00000C000000}"/>
    <hyperlink ref="AI4" r:id="rId14" xr:uid="{00000000-0004-0000-0500-00000D000000}"/>
    <hyperlink ref="N5" r:id="rId15" xr:uid="{00000000-0004-0000-0500-00000E000000}"/>
    <hyperlink ref="T5" r:id="rId16" xr:uid="{00000000-0004-0000-0500-00000F000000}"/>
    <hyperlink ref="Z5" r:id="rId17" xr:uid="{00000000-0004-0000-0500-000010000000}"/>
    <hyperlink ref="AI5" r:id="rId18" xr:uid="{00000000-0004-0000-0500-000011000000}"/>
    <hyperlink ref="N6" r:id="rId19" xr:uid="{00000000-0004-0000-0500-000012000000}"/>
    <hyperlink ref="Z6" r:id="rId20" xr:uid="{00000000-0004-0000-0500-000013000000}"/>
    <hyperlink ref="T6" r:id="rId21" xr:uid="{00000000-0004-0000-0500-000014000000}"/>
    <hyperlink ref="AF6" r:id="rId22" xr:uid="{00000000-0004-0000-0500-000015000000}"/>
    <hyperlink ref="AI6" r:id="rId23" xr:uid="{00000000-0004-0000-0500-000016000000}"/>
    <hyperlink ref="N7" r:id="rId24" xr:uid="{00000000-0004-0000-0500-000017000000}"/>
    <hyperlink ref="T7" r:id="rId25" xr:uid="{00000000-0004-0000-0500-000018000000}"/>
    <hyperlink ref="N8" r:id="rId26" xr:uid="{00000000-0004-0000-0500-000019000000}"/>
    <hyperlink ref="T8" r:id="rId27" xr:uid="{00000000-0004-0000-0500-00001A000000}"/>
    <hyperlink ref="Z8" r:id="rId28" xr:uid="{00000000-0004-0000-0500-00001B000000}"/>
    <hyperlink ref="N9" r:id="rId29" xr:uid="{00000000-0004-0000-0500-00001C000000}"/>
    <hyperlink ref="T9" r:id="rId30" xr:uid="{00000000-0004-0000-0500-00001D000000}"/>
    <hyperlink ref="Z9" r:id="rId31" xr:uid="{00000000-0004-0000-0500-00001E000000}"/>
    <hyperlink ref="AF9" r:id="rId32" xr:uid="{00000000-0004-0000-0500-00001F000000}"/>
    <hyperlink ref="N10" r:id="rId33" xr:uid="{00000000-0004-0000-0500-000020000000}"/>
    <hyperlink ref="Z10" r:id="rId34" xr:uid="{00000000-0004-0000-0500-000021000000}"/>
    <hyperlink ref="AI7" r:id="rId35" xr:uid="{00000000-0004-0000-0500-000022000000}"/>
    <hyperlink ref="AI8" r:id="rId36" xr:uid="{00000000-0004-0000-0500-000023000000}"/>
    <hyperlink ref="AI10" r:id="rId37" xr:uid="{00000000-0004-0000-0500-000024000000}"/>
    <hyperlink ref="N11" r:id="rId38" xr:uid="{00000000-0004-0000-0500-000025000000}"/>
    <hyperlink ref="T11" r:id="rId39" xr:uid="{00000000-0004-0000-0500-000026000000}"/>
    <hyperlink ref="Z11" r:id="rId40" xr:uid="{00000000-0004-0000-0500-000027000000}"/>
    <hyperlink ref="AI11" r:id="rId41" xr:uid="{00000000-0004-0000-0500-000028000000}"/>
    <hyperlink ref="N12" r:id="rId42" xr:uid="{00000000-0004-0000-0500-000029000000}"/>
    <hyperlink ref="T12" r:id="rId43" xr:uid="{00000000-0004-0000-0500-00002A000000}"/>
    <hyperlink ref="AI12" r:id="rId44" xr:uid="{00000000-0004-0000-0500-00002B000000}"/>
    <hyperlink ref="N13" r:id="rId45" xr:uid="{00000000-0004-0000-0500-00002C000000}"/>
    <hyperlink ref="T13" r:id="rId46" xr:uid="{00000000-0004-0000-0500-00002D000000}"/>
    <hyperlink ref="AI13" r:id="rId47" xr:uid="{00000000-0004-0000-0500-00002E000000}"/>
    <hyperlink ref="T14" r:id="rId48" xr:uid="{00000000-0004-0000-0500-00002F000000}"/>
    <hyperlink ref="Z14" r:id="rId49" xr:uid="{00000000-0004-0000-0500-000030000000}"/>
    <hyperlink ref="AF14" r:id="rId50" xr:uid="{00000000-0004-0000-0500-000031000000}"/>
    <hyperlink ref="AI14" r:id="rId51" xr:uid="{00000000-0004-0000-0500-000032000000}"/>
    <hyperlink ref="T15" r:id="rId52" xr:uid="{00000000-0004-0000-0500-000033000000}"/>
    <hyperlink ref="Z15" r:id="rId53" xr:uid="{00000000-0004-0000-0500-000034000000}"/>
    <hyperlink ref="AF15" r:id="rId54" xr:uid="{00000000-0004-0000-0500-000035000000}"/>
    <hyperlink ref="AI15" r:id="rId55" xr:uid="{00000000-0004-0000-0500-000036000000}"/>
    <hyperlink ref="N16" r:id="rId56" xr:uid="{00000000-0004-0000-0500-000037000000}"/>
    <hyperlink ref="T16" r:id="rId57" xr:uid="{00000000-0004-0000-0500-000038000000}"/>
    <hyperlink ref="Z16" r:id="rId58" xr:uid="{00000000-0004-0000-0500-000039000000}"/>
    <hyperlink ref="AF16" r:id="rId59" xr:uid="{00000000-0004-0000-0500-00003A000000}"/>
    <hyperlink ref="AI16" r:id="rId60" xr:uid="{00000000-0004-0000-0500-00003B000000}"/>
    <hyperlink ref="N17" r:id="rId61" xr:uid="{00000000-0004-0000-0500-00003C000000}"/>
    <hyperlink ref="T17" r:id="rId62" xr:uid="{00000000-0004-0000-0500-00003D000000}"/>
    <hyperlink ref="AI17" r:id="rId63" xr:uid="{00000000-0004-0000-0500-00003E000000}"/>
    <hyperlink ref="N18" r:id="rId64" xr:uid="{00000000-0004-0000-0500-00003F000000}"/>
    <hyperlink ref="T18" r:id="rId65" xr:uid="{00000000-0004-0000-0500-000040000000}"/>
    <hyperlink ref="N19" r:id="rId66" xr:uid="{00000000-0004-0000-0500-000041000000}"/>
    <hyperlink ref="T19" r:id="rId67" xr:uid="{00000000-0004-0000-0500-000042000000}"/>
    <hyperlink ref="Z19" r:id="rId68" xr:uid="{00000000-0004-0000-0500-000043000000}"/>
    <hyperlink ref="AI19" r:id="rId69" xr:uid="{00000000-0004-0000-0500-000044000000}"/>
    <hyperlink ref="AI18" r:id="rId70" xr:uid="{00000000-0004-0000-0500-000045000000}"/>
  </hyperlinks>
  <pageMargins left="0.7" right="0.7" top="0.75" bottom="0.75" header="0.3" footer="0.3"/>
  <pageSetup paperSize="9" orientation="portrait" r:id="rId71"/>
  <tableParts count="1">
    <tablePart r:id="rId7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5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5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5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52"/>
  <sheetViews>
    <sheetView topLeftCell="AF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85546875" bestFit="1" customWidth="1"/>
    <col min="4" max="4" width="47.5703125" customWidth="1"/>
    <col min="5" max="5" width="55.42578125" customWidth="1"/>
    <col min="6" max="6" width="27.5703125" customWidth="1"/>
    <col min="7" max="7" width="23.28515625" customWidth="1"/>
    <col min="8" max="8" width="13.5703125" customWidth="1"/>
    <col min="9" max="9" width="19.28515625" customWidth="1"/>
    <col min="10" max="10" width="13.5703125" customWidth="1"/>
    <col min="11" max="11" width="27.5703125" customWidth="1"/>
    <col min="12" max="12" width="40.140625" bestFit="1" customWidth="1"/>
    <col min="13" max="13" width="30.28515625" customWidth="1"/>
    <col min="14" max="14" width="41.140625" customWidth="1"/>
    <col min="15" max="15" width="12" bestFit="1" customWidth="1"/>
    <col min="16" max="16" width="11" customWidth="1"/>
    <col min="17" max="17" width="43.42578125" customWidth="1"/>
    <col min="18" max="18" width="38.42578125" bestFit="1" customWidth="1"/>
    <col min="19" max="19" width="31.28515625" customWidth="1"/>
    <col min="20" max="20" width="32.5703125" customWidth="1"/>
    <col min="21" max="21" width="12" bestFit="1" customWidth="1"/>
    <col min="22" max="22" width="11" customWidth="1"/>
    <col min="23" max="23" width="44.42578125" customWidth="1"/>
    <col min="24" max="24" width="40.140625" bestFit="1" customWidth="1"/>
    <col min="25" max="25" width="31.28515625" customWidth="1"/>
    <col min="26" max="26" width="36.28515625" bestFit="1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0" customWidth="1"/>
    <col min="33" max="33" width="13" customWidth="1"/>
    <col min="34" max="34" width="11.85546875" customWidth="1"/>
    <col min="35" max="35" width="98.5703125" customWidth="1"/>
  </cols>
  <sheetData>
    <row r="1" spans="1:40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40" x14ac:dyDescent="0.25">
      <c r="A2" s="1" t="s">
        <v>260</v>
      </c>
      <c r="B2" s="18" t="s">
        <v>4015</v>
      </c>
      <c r="C2" s="1" t="s">
        <v>1418</v>
      </c>
      <c r="D2" s="1" t="s">
        <v>1525</v>
      </c>
      <c r="E2" s="1" t="s">
        <v>1526</v>
      </c>
      <c r="F2" s="1" t="s">
        <v>4866</v>
      </c>
      <c r="G2" s="1" t="s">
        <v>4873</v>
      </c>
      <c r="H2" s="1" t="s">
        <v>4870</v>
      </c>
      <c r="I2" s="1" t="s">
        <v>5020</v>
      </c>
      <c r="J2" s="1" t="s">
        <v>4896</v>
      </c>
      <c r="K2" s="1" t="s">
        <v>4911</v>
      </c>
      <c r="L2" s="1" t="s">
        <v>1527</v>
      </c>
      <c r="M2" s="1">
        <v>8120333742</v>
      </c>
      <c r="N2" s="11" t="s">
        <v>1528</v>
      </c>
      <c r="O2" s="1">
        <v>8115441733</v>
      </c>
      <c r="P2" s="9"/>
      <c r="Q2" s="1" t="s">
        <v>1529</v>
      </c>
      <c r="R2" s="1" t="s">
        <v>1530</v>
      </c>
      <c r="S2" s="1">
        <v>8120332177</v>
      </c>
      <c r="T2" s="11" t="s">
        <v>1825</v>
      </c>
      <c r="U2" s="1">
        <v>8119047627</v>
      </c>
      <c r="V2" s="9"/>
      <c r="W2" s="1" t="s">
        <v>1526</v>
      </c>
      <c r="X2" s="1" t="s">
        <v>1527</v>
      </c>
      <c r="Y2" s="1">
        <v>8120333742</v>
      </c>
      <c r="Z2" s="11" t="s">
        <v>1528</v>
      </c>
      <c r="AA2" s="1">
        <v>8115441733</v>
      </c>
      <c r="AB2" s="9"/>
      <c r="AC2" s="1"/>
      <c r="AD2" s="1"/>
      <c r="AE2" s="1"/>
      <c r="AF2" s="1"/>
      <c r="AG2" s="1"/>
      <c r="AI2" s="11" t="s">
        <v>1531</v>
      </c>
    </row>
    <row r="3" spans="1:40" x14ac:dyDescent="0.25">
      <c r="A3" s="1" t="s">
        <v>261</v>
      </c>
      <c r="B3" s="1"/>
      <c r="C3" s="1" t="s">
        <v>1839</v>
      </c>
      <c r="D3" s="32" t="s">
        <v>2775</v>
      </c>
      <c r="E3" s="1" t="s">
        <v>1868</v>
      </c>
      <c r="F3" s="1" t="s">
        <v>4865</v>
      </c>
      <c r="G3" s="1" t="s">
        <v>4873</v>
      </c>
      <c r="H3" s="1" t="s">
        <v>4870</v>
      </c>
      <c r="I3" s="1" t="s">
        <v>5021</v>
      </c>
      <c r="J3" s="1" t="s">
        <v>4896</v>
      </c>
      <c r="K3" s="1" t="s">
        <v>4911</v>
      </c>
      <c r="L3" s="1" t="s">
        <v>1869</v>
      </c>
      <c r="M3" s="1">
        <v>8183400088</v>
      </c>
      <c r="N3" s="11" t="s">
        <v>1870</v>
      </c>
      <c r="O3" s="1">
        <v>8126054268</v>
      </c>
      <c r="P3" s="9"/>
      <c r="Q3" s="1" t="s">
        <v>1868</v>
      </c>
      <c r="R3" s="1" t="s">
        <v>1869</v>
      </c>
      <c r="S3" s="1">
        <v>8183400088</v>
      </c>
      <c r="T3" s="11" t="s">
        <v>1870</v>
      </c>
      <c r="U3" s="1">
        <v>8126054268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1958</v>
      </c>
    </row>
    <row r="4" spans="1:40" x14ac:dyDescent="0.25">
      <c r="A4" s="1" t="s">
        <v>262</v>
      </c>
      <c r="B4" s="18" t="s">
        <v>2862</v>
      </c>
      <c r="C4" s="1" t="s">
        <v>1947</v>
      </c>
      <c r="D4" s="1" t="s">
        <v>1948</v>
      </c>
      <c r="E4" s="1" t="s">
        <v>1952</v>
      </c>
      <c r="F4" s="1" t="s">
        <v>4865</v>
      </c>
      <c r="G4" s="1" t="s">
        <v>4875</v>
      </c>
      <c r="H4" s="1" t="s">
        <v>4869</v>
      </c>
      <c r="I4" s="1" t="s">
        <v>4938</v>
      </c>
      <c r="J4" s="1" t="s">
        <v>4896</v>
      </c>
      <c r="K4" s="1" t="s">
        <v>4911</v>
      </c>
      <c r="L4" s="1" t="s">
        <v>1949</v>
      </c>
      <c r="M4" s="1" t="s">
        <v>1950</v>
      </c>
      <c r="N4" s="11" t="s">
        <v>1951</v>
      </c>
      <c r="O4" s="1" t="s">
        <v>1483</v>
      </c>
      <c r="P4" s="9"/>
      <c r="Q4" s="1" t="s">
        <v>1952</v>
      </c>
      <c r="R4" s="1" t="s">
        <v>1949</v>
      </c>
      <c r="S4" s="1" t="s">
        <v>1950</v>
      </c>
      <c r="T4" s="11" t="s">
        <v>1951</v>
      </c>
      <c r="U4" s="1" t="s">
        <v>1483</v>
      </c>
      <c r="V4" s="9"/>
      <c r="W4" s="1" t="s">
        <v>1953</v>
      </c>
      <c r="X4" s="1" t="s">
        <v>1954</v>
      </c>
      <c r="Y4" s="1" t="s">
        <v>1955</v>
      </c>
      <c r="Z4" s="11" t="s">
        <v>1956</v>
      </c>
      <c r="AA4" s="1" t="s">
        <v>1483</v>
      </c>
      <c r="AB4" s="9"/>
      <c r="AC4" s="1"/>
      <c r="AD4" s="1"/>
      <c r="AE4" s="1"/>
      <c r="AF4" s="1"/>
      <c r="AG4" s="1"/>
      <c r="AI4" s="11" t="s">
        <v>1957</v>
      </c>
      <c r="AJ4" s="18"/>
      <c r="AK4" s="18"/>
      <c r="AM4" s="18"/>
      <c r="AN4" s="19"/>
    </row>
    <row r="5" spans="1:40" x14ac:dyDescent="0.25">
      <c r="A5" s="1" t="s">
        <v>263</v>
      </c>
      <c r="B5" s="18" t="s">
        <v>2863</v>
      </c>
      <c r="C5" s="1" t="s">
        <v>2301</v>
      </c>
      <c r="D5" s="1" t="s">
        <v>2300</v>
      </c>
      <c r="E5" s="1" t="s">
        <v>2302</v>
      </c>
      <c r="F5" s="1" t="s">
        <v>4864</v>
      </c>
      <c r="G5" s="1" t="s">
        <v>4875</v>
      </c>
      <c r="H5" s="1" t="s">
        <v>4869</v>
      </c>
      <c r="I5" s="1" t="s">
        <v>4923</v>
      </c>
      <c r="J5" s="1" t="s">
        <v>4896</v>
      </c>
      <c r="K5" s="1" t="s">
        <v>4914</v>
      </c>
      <c r="L5" s="1" t="s">
        <v>2303</v>
      </c>
      <c r="M5" s="1">
        <v>8115881364</v>
      </c>
      <c r="N5" s="11" t="s">
        <v>2304</v>
      </c>
      <c r="O5" s="1">
        <v>8115881364</v>
      </c>
      <c r="P5" s="9"/>
      <c r="Q5" s="1" t="s">
        <v>2305</v>
      </c>
      <c r="R5" s="15" t="s">
        <v>1368</v>
      </c>
      <c r="S5" s="1">
        <v>8182866150</v>
      </c>
      <c r="T5" s="11" t="s">
        <v>2306</v>
      </c>
      <c r="U5" s="1" t="s">
        <v>1483</v>
      </c>
      <c r="V5" s="9"/>
      <c r="W5" s="1" t="s">
        <v>2302</v>
      </c>
      <c r="X5" s="1" t="s">
        <v>2303</v>
      </c>
      <c r="Y5" s="1">
        <v>8115881364</v>
      </c>
      <c r="Z5" s="11" t="s">
        <v>2304</v>
      </c>
      <c r="AA5" s="1">
        <v>8115881364</v>
      </c>
      <c r="AB5" s="9"/>
      <c r="AC5" s="1"/>
      <c r="AD5" s="1"/>
      <c r="AE5" s="1"/>
      <c r="AF5" s="1"/>
      <c r="AG5" s="1"/>
      <c r="AI5" s="11" t="s">
        <v>2307</v>
      </c>
      <c r="AJ5" s="18"/>
      <c r="AK5" s="18"/>
      <c r="AM5" s="18"/>
      <c r="AN5" s="19"/>
    </row>
    <row r="6" spans="1:40" x14ac:dyDescent="0.25">
      <c r="A6" s="1" t="s">
        <v>264</v>
      </c>
      <c r="B6" s="18" t="s">
        <v>4026</v>
      </c>
      <c r="C6" s="1" t="s">
        <v>2308</v>
      </c>
      <c r="D6" s="1" t="s">
        <v>4025</v>
      </c>
      <c r="E6" s="1" t="s">
        <v>2309</v>
      </c>
      <c r="F6" s="1" t="s">
        <v>4865</v>
      </c>
      <c r="G6" s="1" t="s">
        <v>4875</v>
      </c>
      <c r="H6" s="1" t="s">
        <v>4869</v>
      </c>
      <c r="I6" s="1" t="s">
        <v>5022</v>
      </c>
      <c r="J6" s="1" t="s">
        <v>4896</v>
      </c>
      <c r="K6" s="1" t="s">
        <v>4911</v>
      </c>
      <c r="L6" s="1" t="s">
        <v>1745</v>
      </c>
      <c r="M6" s="1">
        <v>8123534747</v>
      </c>
      <c r="N6" s="11" t="s">
        <v>2313</v>
      </c>
      <c r="O6" s="1" t="s">
        <v>1483</v>
      </c>
      <c r="P6" s="9"/>
      <c r="Q6" s="1" t="s">
        <v>2310</v>
      </c>
      <c r="R6" s="1" t="s">
        <v>2311</v>
      </c>
      <c r="S6" s="1">
        <v>8110371671</v>
      </c>
      <c r="T6" s="11" t="s">
        <v>2312</v>
      </c>
      <c r="U6" s="1">
        <v>8110371671</v>
      </c>
      <c r="V6" s="9"/>
      <c r="W6" s="1" t="s">
        <v>2309</v>
      </c>
      <c r="X6" s="1" t="s">
        <v>1745</v>
      </c>
      <c r="Y6" s="1">
        <v>8123534747</v>
      </c>
      <c r="Z6" s="11" t="s">
        <v>2313</v>
      </c>
      <c r="AA6" s="1" t="s">
        <v>1483</v>
      </c>
      <c r="AB6" s="9"/>
      <c r="AC6" s="1"/>
      <c r="AD6" s="1"/>
      <c r="AE6" s="1"/>
      <c r="AF6" s="1"/>
      <c r="AG6" s="1"/>
      <c r="AI6" s="11" t="s">
        <v>2314</v>
      </c>
    </row>
    <row r="7" spans="1:40" x14ac:dyDescent="0.25">
      <c r="A7" s="1" t="s">
        <v>265</v>
      </c>
      <c r="B7" s="1"/>
      <c r="C7" s="13" t="s">
        <v>2013</v>
      </c>
      <c r="D7" s="13" t="s">
        <v>3879</v>
      </c>
      <c r="E7" t="s">
        <v>3497</v>
      </c>
      <c r="F7" t="s">
        <v>4866</v>
      </c>
      <c r="G7" t="s">
        <v>4875</v>
      </c>
      <c r="H7" t="s">
        <v>4871</v>
      </c>
      <c r="I7" s="13" t="s">
        <v>5023</v>
      </c>
      <c r="J7" s="1" t="s">
        <v>4896</v>
      </c>
      <c r="K7" s="13" t="s">
        <v>5024</v>
      </c>
      <c r="L7" t="s">
        <v>3498</v>
      </c>
      <c r="M7" t="s">
        <v>3499</v>
      </c>
      <c r="N7" s="17" t="s">
        <v>3500</v>
      </c>
      <c r="O7">
        <v>8135811809</v>
      </c>
      <c r="Q7" t="s">
        <v>3497</v>
      </c>
      <c r="R7" t="s">
        <v>3498</v>
      </c>
      <c r="S7" t="s">
        <v>3499</v>
      </c>
      <c r="T7" s="17" t="s">
        <v>3509</v>
      </c>
      <c r="U7">
        <v>8135811809</v>
      </c>
      <c r="AI7" s="11" t="s">
        <v>3501</v>
      </c>
    </row>
    <row r="8" spans="1:40" x14ac:dyDescent="0.25">
      <c r="A8" s="1" t="s">
        <v>266</v>
      </c>
      <c r="B8" s="1"/>
      <c r="C8" s="1" t="s">
        <v>2283</v>
      </c>
      <c r="D8" s="1" t="s">
        <v>3012</v>
      </c>
      <c r="E8" s="1" t="s">
        <v>3013</v>
      </c>
      <c r="F8" t="s">
        <v>4866</v>
      </c>
      <c r="G8" t="s">
        <v>4875</v>
      </c>
      <c r="H8" t="s">
        <v>4871</v>
      </c>
      <c r="I8" s="13" t="s">
        <v>5023</v>
      </c>
      <c r="J8" s="1" t="s">
        <v>4896</v>
      </c>
      <c r="K8" s="13" t="s">
        <v>5024</v>
      </c>
      <c r="L8" s="1" t="s">
        <v>3014</v>
      </c>
      <c r="M8" s="1">
        <v>8113208556</v>
      </c>
      <c r="N8" s="11" t="s">
        <v>3015</v>
      </c>
      <c r="O8" s="1">
        <v>8113208556</v>
      </c>
      <c r="P8" s="9"/>
      <c r="Q8" s="1" t="s">
        <v>3013</v>
      </c>
      <c r="R8" s="1" t="s">
        <v>3014</v>
      </c>
      <c r="S8" s="1">
        <v>8113208556</v>
      </c>
      <c r="T8" s="11" t="s">
        <v>3015</v>
      </c>
      <c r="U8" s="1">
        <v>8113208556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3775</v>
      </c>
    </row>
    <row r="9" spans="1:40" x14ac:dyDescent="0.25">
      <c r="A9" s="1" t="s">
        <v>267</v>
      </c>
      <c r="B9" s="1"/>
      <c r="C9" s="1" t="s">
        <v>3016</v>
      </c>
      <c r="D9" s="1" t="s">
        <v>3017</v>
      </c>
      <c r="E9" s="1" t="s">
        <v>3018</v>
      </c>
      <c r="F9" t="s">
        <v>4866</v>
      </c>
      <c r="G9" t="s">
        <v>4874</v>
      </c>
      <c r="H9" t="s">
        <v>4871</v>
      </c>
      <c r="I9" s="13" t="s">
        <v>5023</v>
      </c>
      <c r="J9" s="1" t="s">
        <v>4896</v>
      </c>
      <c r="K9" s="13" t="s">
        <v>5024</v>
      </c>
      <c r="L9" s="1" t="s">
        <v>3019</v>
      </c>
      <c r="M9" s="1">
        <v>8115042152</v>
      </c>
      <c r="N9" s="11" t="s">
        <v>3020</v>
      </c>
      <c r="O9" s="1" t="s">
        <v>1398</v>
      </c>
      <c r="P9" s="9"/>
      <c r="Q9" s="1" t="s">
        <v>3018</v>
      </c>
      <c r="R9" s="1" t="s">
        <v>3019</v>
      </c>
      <c r="S9" s="1">
        <v>8115042152</v>
      </c>
      <c r="T9" s="11" t="s">
        <v>3020</v>
      </c>
      <c r="U9" s="1" t="s">
        <v>1398</v>
      </c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1" t="s">
        <v>3776</v>
      </c>
    </row>
    <row r="10" spans="1:40" x14ac:dyDescent="0.25">
      <c r="A10" s="1" t="s">
        <v>268</v>
      </c>
      <c r="B10" s="18" t="s">
        <v>3923</v>
      </c>
      <c r="C10" s="1" t="s">
        <v>3482</v>
      </c>
      <c r="D10" s="1" t="s">
        <v>3489</v>
      </c>
      <c r="E10" s="1" t="s">
        <v>3490</v>
      </c>
      <c r="F10" s="1" t="s">
        <v>4867</v>
      </c>
      <c r="G10" t="s">
        <v>4875</v>
      </c>
      <c r="H10" s="1" t="s">
        <v>4869</v>
      </c>
      <c r="I10" s="1" t="s">
        <v>5022</v>
      </c>
      <c r="J10" s="1" t="s">
        <v>4896</v>
      </c>
      <c r="K10" s="1" t="s">
        <v>4924</v>
      </c>
      <c r="L10" s="1" t="s">
        <v>3491</v>
      </c>
      <c r="M10" s="1">
        <v>8341160744</v>
      </c>
      <c r="N10" s="11" t="s">
        <v>3492</v>
      </c>
      <c r="O10" s="1" t="s">
        <v>1483</v>
      </c>
      <c r="P10" s="9"/>
      <c r="Q10" s="1" t="s">
        <v>3490</v>
      </c>
      <c r="R10" s="1" t="s">
        <v>3491</v>
      </c>
      <c r="S10" s="1">
        <v>8341160744</v>
      </c>
      <c r="T10" s="11" t="s">
        <v>3508</v>
      </c>
      <c r="U10" s="1" t="s">
        <v>1483</v>
      </c>
      <c r="V10" s="9"/>
      <c r="W10" s="1" t="s">
        <v>3493</v>
      </c>
      <c r="X10" s="1" t="s">
        <v>3494</v>
      </c>
      <c r="Y10" s="1">
        <v>3334791249</v>
      </c>
      <c r="Z10" s="1" t="s">
        <v>3495</v>
      </c>
      <c r="AA10" s="1">
        <v>3334791249</v>
      </c>
      <c r="AB10" s="9"/>
      <c r="AC10" s="1"/>
      <c r="AD10" s="1"/>
      <c r="AE10" s="1"/>
      <c r="AF10" s="1"/>
      <c r="AG10" s="1"/>
      <c r="AI10" s="11" t="s">
        <v>3496</v>
      </c>
    </row>
    <row r="11" spans="1:40" x14ac:dyDescent="0.25">
      <c r="A11" s="1" t="s">
        <v>269</v>
      </c>
      <c r="B11" s="1"/>
      <c r="C11" s="1" t="s">
        <v>3502</v>
      </c>
      <c r="D11" s="1" t="s">
        <v>3503</v>
      </c>
      <c r="E11" s="1" t="s">
        <v>3504</v>
      </c>
      <c r="F11" s="1" t="s">
        <v>4866</v>
      </c>
      <c r="G11" s="1" t="s">
        <v>4873</v>
      </c>
      <c r="H11" s="1" t="s">
        <v>4869</v>
      </c>
      <c r="I11" s="1" t="s">
        <v>5025</v>
      </c>
      <c r="J11" s="1" t="s">
        <v>4896</v>
      </c>
      <c r="K11" s="1" t="s">
        <v>4911</v>
      </c>
      <c r="L11" s="1" t="s">
        <v>1383</v>
      </c>
      <c r="M11" s="1">
        <v>8140002000</v>
      </c>
      <c r="N11" s="11" t="s">
        <v>3505</v>
      </c>
      <c r="O11" s="1" t="s">
        <v>1483</v>
      </c>
      <c r="P11" s="9"/>
      <c r="Q11" s="1" t="s">
        <v>3504</v>
      </c>
      <c r="R11" s="1" t="s">
        <v>3506</v>
      </c>
      <c r="S11" s="1">
        <v>8140002000</v>
      </c>
      <c r="T11" s="11" t="s">
        <v>3507</v>
      </c>
      <c r="U11" s="1" t="s">
        <v>1483</v>
      </c>
      <c r="V11" s="9"/>
      <c r="W11" s="1" t="s">
        <v>3510</v>
      </c>
      <c r="X11" s="1" t="s">
        <v>1383</v>
      </c>
      <c r="Y11" s="1">
        <v>8140002000</v>
      </c>
      <c r="Z11" s="11" t="s">
        <v>3511</v>
      </c>
      <c r="AA11" s="1" t="s">
        <v>1483</v>
      </c>
      <c r="AB11" s="9"/>
      <c r="AC11" s="1"/>
      <c r="AD11" s="1"/>
      <c r="AE11" s="1"/>
      <c r="AF11" s="1"/>
      <c r="AG11" s="1"/>
      <c r="AI11" s="11" t="s">
        <v>3512</v>
      </c>
    </row>
    <row r="12" spans="1:40" x14ac:dyDescent="0.25">
      <c r="A12" s="1" t="s">
        <v>270</v>
      </c>
      <c r="B12" s="1"/>
      <c r="C12" s="1" t="s">
        <v>3482</v>
      </c>
      <c r="D12" s="1" t="s">
        <v>3922</v>
      </c>
      <c r="E12" s="1" t="s">
        <v>3563</v>
      </c>
      <c r="F12" t="s">
        <v>4866</v>
      </c>
      <c r="G12" t="s">
        <v>4875</v>
      </c>
      <c r="H12" t="s">
        <v>4871</v>
      </c>
      <c r="I12" s="13" t="s">
        <v>5023</v>
      </c>
      <c r="J12" s="1" t="s">
        <v>4896</v>
      </c>
      <c r="K12" s="13" t="s">
        <v>5024</v>
      </c>
      <c r="L12" s="1" t="s">
        <v>1622</v>
      </c>
      <c r="M12" s="1" t="s">
        <v>3564</v>
      </c>
      <c r="N12" s="11" t="s">
        <v>3565</v>
      </c>
      <c r="O12" s="1">
        <v>8116000922</v>
      </c>
      <c r="P12" s="9"/>
      <c r="Q12" s="1" t="s">
        <v>3563</v>
      </c>
      <c r="R12" s="1" t="s">
        <v>1622</v>
      </c>
      <c r="S12" s="1" t="s">
        <v>3564</v>
      </c>
      <c r="T12" s="11" t="s">
        <v>3565</v>
      </c>
      <c r="U12" s="1">
        <v>8116000922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3566</v>
      </c>
    </row>
    <row r="13" spans="1:40" x14ac:dyDescent="0.25">
      <c r="A13" s="1" t="s">
        <v>271</v>
      </c>
      <c r="B13" s="18" t="s">
        <v>3921</v>
      </c>
      <c r="C13" s="1" t="s">
        <v>3845</v>
      </c>
      <c r="D13" s="1" t="s">
        <v>3846</v>
      </c>
      <c r="E13" s="1" t="s">
        <v>3847</v>
      </c>
      <c r="F13" s="1" t="s">
        <v>4864</v>
      </c>
      <c r="G13" s="1" t="s">
        <v>4875</v>
      </c>
      <c r="H13" s="1" t="s">
        <v>4869</v>
      </c>
      <c r="I13" s="1" t="s">
        <v>5026</v>
      </c>
      <c r="J13" s="1" t="s">
        <v>4896</v>
      </c>
      <c r="K13" s="1" t="s">
        <v>4911</v>
      </c>
      <c r="L13" s="1" t="s">
        <v>3848</v>
      </c>
      <c r="M13" s="1">
        <v>8132511430</v>
      </c>
      <c r="N13" s="11" t="s">
        <v>3849</v>
      </c>
      <c r="O13" s="1">
        <v>8132511430</v>
      </c>
      <c r="P13" s="9"/>
      <c r="Q13" s="1" t="s">
        <v>3847</v>
      </c>
      <c r="R13" s="1" t="s">
        <v>3848</v>
      </c>
      <c r="S13" s="1">
        <v>8132511430</v>
      </c>
      <c r="T13" s="11" t="s">
        <v>3849</v>
      </c>
      <c r="U13" s="1">
        <v>8132511430</v>
      </c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1" t="s">
        <v>3850</v>
      </c>
    </row>
    <row r="14" spans="1:40" x14ac:dyDescent="0.25">
      <c r="A14" s="1" t="s">
        <v>272</v>
      </c>
      <c r="B14" s="1" t="s">
        <v>4170</v>
      </c>
      <c r="C14" s="1" t="s">
        <v>4073</v>
      </c>
      <c r="D14" s="1" t="s">
        <v>4169</v>
      </c>
      <c r="E14" s="1" t="s">
        <v>4171</v>
      </c>
      <c r="F14" s="1" t="s">
        <v>4865</v>
      </c>
      <c r="G14" s="1" t="s">
        <v>4874</v>
      </c>
      <c r="H14" s="1" t="s">
        <v>4869</v>
      </c>
      <c r="I14" s="1" t="s">
        <v>5022</v>
      </c>
      <c r="J14" s="1" t="s">
        <v>4896</v>
      </c>
      <c r="K14" s="1" t="s">
        <v>4911</v>
      </c>
      <c r="L14" s="1" t="s">
        <v>1522</v>
      </c>
      <c r="M14" s="1">
        <v>8183321315</v>
      </c>
      <c r="N14" s="11" t="s">
        <v>4172</v>
      </c>
      <c r="O14" s="1">
        <v>8119900629</v>
      </c>
      <c r="P14" s="9"/>
      <c r="Q14" s="1" t="s">
        <v>4171</v>
      </c>
      <c r="R14" s="1" t="s">
        <v>1522</v>
      </c>
      <c r="S14" s="1">
        <v>8183321315</v>
      </c>
      <c r="T14" s="11" t="s">
        <v>4172</v>
      </c>
      <c r="U14" s="1">
        <v>8119900629</v>
      </c>
      <c r="V14" s="9"/>
      <c r="W14" s="1" t="s">
        <v>4173</v>
      </c>
      <c r="X14" s="1" t="s">
        <v>4174</v>
      </c>
      <c r="Y14" s="1">
        <v>8183321316</v>
      </c>
      <c r="Z14" s="11" t="s">
        <v>4175</v>
      </c>
      <c r="AA14" s="1">
        <v>8119900629</v>
      </c>
      <c r="AB14" s="9"/>
      <c r="AC14" s="1" t="s">
        <v>4176</v>
      </c>
      <c r="AD14" s="1" t="s">
        <v>4177</v>
      </c>
      <c r="AE14" s="1">
        <v>8183321317</v>
      </c>
      <c r="AF14" s="11" t="s">
        <v>4175</v>
      </c>
      <c r="AG14" s="1">
        <v>8127245614</v>
      </c>
      <c r="AI14" s="11" t="s">
        <v>4178</v>
      </c>
    </row>
    <row r="15" spans="1:40" x14ac:dyDescent="0.25">
      <c r="A15" s="1" t="s">
        <v>273</v>
      </c>
      <c r="B15" s="1"/>
      <c r="C15" s="1" t="s">
        <v>4073</v>
      </c>
      <c r="D15" s="1" t="s">
        <v>4224</v>
      </c>
      <c r="E15" s="1" t="s">
        <v>4225</v>
      </c>
      <c r="F15" s="1" t="s">
        <v>4865</v>
      </c>
      <c r="G15" s="1" t="s">
        <v>4874</v>
      </c>
      <c r="H15" s="1" t="s">
        <v>4869</v>
      </c>
      <c r="I15" s="1" t="s">
        <v>5022</v>
      </c>
      <c r="J15" s="1" t="s">
        <v>4896</v>
      </c>
      <c r="K15" s="1" t="s">
        <v>4924</v>
      </c>
      <c r="L15" s="1" t="s">
        <v>4226</v>
      </c>
      <c r="M15" s="1" t="s">
        <v>4227</v>
      </c>
      <c r="N15" s="11" t="s">
        <v>4228</v>
      </c>
      <c r="O15" s="1">
        <v>8110267132</v>
      </c>
      <c r="P15" s="9"/>
      <c r="Q15" s="1" t="s">
        <v>4229</v>
      </c>
      <c r="R15" s="1" t="s">
        <v>1694</v>
      </c>
      <c r="S15" s="1" t="s">
        <v>4230</v>
      </c>
      <c r="T15" s="11" t="s">
        <v>4231</v>
      </c>
      <c r="U15" s="1">
        <v>8117054550</v>
      </c>
      <c r="V15" s="9"/>
      <c r="W15" s="1" t="s">
        <v>4225</v>
      </c>
      <c r="X15" s="1" t="s">
        <v>4226</v>
      </c>
      <c r="Y15" s="1" t="s">
        <v>4227</v>
      </c>
      <c r="Z15" s="11" t="s">
        <v>4228</v>
      </c>
      <c r="AA15" s="1">
        <v>8110267132</v>
      </c>
      <c r="AB15" s="9"/>
      <c r="AC15" s="1"/>
      <c r="AD15" s="1"/>
      <c r="AE15" s="1"/>
      <c r="AF15" s="1"/>
      <c r="AG15" s="1"/>
      <c r="AI15" s="11" t="s">
        <v>4232</v>
      </c>
    </row>
    <row r="16" spans="1:40" x14ac:dyDescent="0.25">
      <c r="A16" s="1" t="s">
        <v>274</v>
      </c>
      <c r="B16" s="1"/>
      <c r="C16" s="1" t="s">
        <v>4716</v>
      </c>
      <c r="D16" s="1" t="s">
        <v>4731</v>
      </c>
      <c r="E16" s="1" t="s">
        <v>4732</v>
      </c>
      <c r="F16" s="1" t="s">
        <v>4863</v>
      </c>
      <c r="G16" s="1" t="s">
        <v>4872</v>
      </c>
      <c r="H16" s="1" t="s">
        <v>4869</v>
      </c>
      <c r="I16" s="1" t="s">
        <v>2097</v>
      </c>
      <c r="J16" s="1" t="s">
        <v>4896</v>
      </c>
      <c r="K16" s="1" t="s">
        <v>4911</v>
      </c>
      <c r="L16" s="1" t="s">
        <v>3127</v>
      </c>
      <c r="M16" s="1">
        <v>8114312545</v>
      </c>
      <c r="N16" s="11" t="s">
        <v>4733</v>
      </c>
      <c r="O16" s="1">
        <v>8127325036</v>
      </c>
      <c r="P16" s="9"/>
      <c r="Q16" s="1" t="s">
        <v>4732</v>
      </c>
      <c r="R16" s="1" t="s">
        <v>3127</v>
      </c>
      <c r="S16" s="1">
        <v>8114312545</v>
      </c>
      <c r="T16" s="11" t="s">
        <v>4733</v>
      </c>
      <c r="U16" s="1">
        <v>8127325036</v>
      </c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1" t="s">
        <v>5062</v>
      </c>
    </row>
    <row r="17" spans="1:35 16384:16384" x14ac:dyDescent="0.25">
      <c r="A17" s="1" t="s">
        <v>275</v>
      </c>
      <c r="B17" s="1"/>
      <c r="C17" s="1" t="s">
        <v>5056</v>
      </c>
      <c r="D17" s="1" t="s">
        <v>5055</v>
      </c>
      <c r="E17" s="1" t="s">
        <v>5057</v>
      </c>
      <c r="F17" s="1" t="s">
        <v>4865</v>
      </c>
      <c r="G17" s="1" t="s">
        <v>4873</v>
      </c>
      <c r="H17" s="1" t="s">
        <v>4869</v>
      </c>
      <c r="I17" s="1" t="s">
        <v>5158</v>
      </c>
      <c r="J17" s="1" t="s">
        <v>4896</v>
      </c>
      <c r="K17" s="1" t="s">
        <v>4928</v>
      </c>
      <c r="L17" s="1" t="s">
        <v>1522</v>
      </c>
      <c r="M17" s="1">
        <v>18120007343</v>
      </c>
      <c r="N17" s="11" t="s">
        <v>5058</v>
      </c>
      <c r="O17" s="1">
        <v>18120007343</v>
      </c>
      <c r="P17" s="9"/>
      <c r="Q17" s="1" t="s">
        <v>5057</v>
      </c>
      <c r="R17" s="1" t="s">
        <v>1522</v>
      </c>
      <c r="S17" s="1">
        <v>18120007343</v>
      </c>
      <c r="T17" s="11" t="s">
        <v>5058</v>
      </c>
      <c r="U17" s="1">
        <v>18120007343</v>
      </c>
      <c r="V17" s="9"/>
      <c r="W17" s="1" t="s">
        <v>5059</v>
      </c>
      <c r="X17" s="1" t="s">
        <v>1482</v>
      </c>
      <c r="Y17" s="1">
        <v>8179468110</v>
      </c>
      <c r="Z17" s="11" t="s">
        <v>5060</v>
      </c>
      <c r="AA17" s="1">
        <v>8179468110</v>
      </c>
      <c r="AB17" s="9"/>
      <c r="AC17" s="1"/>
      <c r="AD17" s="1"/>
      <c r="AE17" s="1"/>
      <c r="AF17" s="1"/>
      <c r="AG17" s="1"/>
      <c r="AI17" s="11" t="s">
        <v>5061</v>
      </c>
    </row>
    <row r="18" spans="1:35 16384:16384" x14ac:dyDescent="0.25">
      <c r="A18" s="1" t="s">
        <v>276</v>
      </c>
      <c r="B18" s="18" t="s">
        <v>5106</v>
      </c>
      <c r="C18" s="1" t="s">
        <v>4375</v>
      </c>
      <c r="D18" s="1" t="s">
        <v>5105</v>
      </c>
      <c r="E18" s="1" t="s">
        <v>5107</v>
      </c>
      <c r="F18" s="1" t="s">
        <v>4863</v>
      </c>
      <c r="G18" s="1" t="s">
        <v>4873</v>
      </c>
      <c r="H18" s="1" t="s">
        <v>4869</v>
      </c>
      <c r="I18" s="1" t="s">
        <v>5010</v>
      </c>
      <c r="J18" s="1" t="s">
        <v>4896</v>
      </c>
      <c r="K18" s="1" t="s">
        <v>4911</v>
      </c>
      <c r="L18" s="1" t="s">
        <v>1522</v>
      </c>
      <c r="M18" s="1" t="s">
        <v>1483</v>
      </c>
      <c r="N18" s="1" t="s">
        <v>1483</v>
      </c>
      <c r="O18" s="1" t="s">
        <v>1483</v>
      </c>
      <c r="P18" s="9"/>
      <c r="Q18" s="1" t="s">
        <v>5108</v>
      </c>
      <c r="R18" s="1" t="s">
        <v>1453</v>
      </c>
      <c r="S18" s="1">
        <v>8211421446</v>
      </c>
      <c r="T18" s="11" t="s">
        <v>5109</v>
      </c>
      <c r="U18" s="1">
        <v>8211421446</v>
      </c>
      <c r="V18" s="9"/>
      <c r="W18" s="1" t="s">
        <v>5110</v>
      </c>
      <c r="X18" s="1" t="s">
        <v>5111</v>
      </c>
      <c r="Y18" s="1">
        <v>8126137601</v>
      </c>
      <c r="Z18" s="11" t="s">
        <v>5112</v>
      </c>
      <c r="AA18" s="1">
        <v>8126137601</v>
      </c>
      <c r="AB18" s="9"/>
      <c r="AC18" s="1" t="s">
        <v>5113</v>
      </c>
      <c r="AD18" s="1" t="s">
        <v>1900</v>
      </c>
      <c r="AE18" s="1">
        <v>8184747168</v>
      </c>
      <c r="AF18" s="11" t="s">
        <v>5114</v>
      </c>
      <c r="AG18" s="1">
        <v>8184747168</v>
      </c>
      <c r="AI18" s="11" t="s">
        <v>5115</v>
      </c>
      <c r="XFD18" s="1"/>
    </row>
    <row r="19" spans="1:35 16384:16384" x14ac:dyDescent="0.25">
      <c r="A19" s="1" t="s">
        <v>277</v>
      </c>
      <c r="B19" s="18" t="s">
        <v>5117</v>
      </c>
      <c r="C19" s="1" t="s">
        <v>4716</v>
      </c>
      <c r="D19" s="1" t="s">
        <v>5116</v>
      </c>
      <c r="E19" s="1" t="s">
        <v>5121</v>
      </c>
      <c r="F19" s="1" t="s">
        <v>4865</v>
      </c>
      <c r="G19" s="1" t="s">
        <v>4874</v>
      </c>
      <c r="H19" s="1" t="s">
        <v>4869</v>
      </c>
      <c r="I19" s="1" t="s">
        <v>5102</v>
      </c>
      <c r="J19" s="1" t="s">
        <v>4896</v>
      </c>
      <c r="K19" s="1" t="s">
        <v>4911</v>
      </c>
      <c r="L19" s="1" t="s">
        <v>1522</v>
      </c>
      <c r="M19" s="1" t="s">
        <v>1483</v>
      </c>
      <c r="N19" s="1" t="s">
        <v>1483</v>
      </c>
      <c r="O19" s="1" t="s">
        <v>1483</v>
      </c>
      <c r="P19" s="9"/>
      <c r="Q19" s="1" t="s">
        <v>5118</v>
      </c>
      <c r="R19" s="1" t="s">
        <v>1468</v>
      </c>
      <c r="S19" s="1" t="s">
        <v>5119</v>
      </c>
      <c r="T19" s="11" t="s">
        <v>5120</v>
      </c>
      <c r="U19" s="1">
        <v>8117181373</v>
      </c>
      <c r="V19" s="9"/>
      <c r="W19" s="1" t="s">
        <v>5122</v>
      </c>
      <c r="X19" s="1" t="s">
        <v>5123</v>
      </c>
      <c r="Y19" s="1" t="s">
        <v>5124</v>
      </c>
      <c r="Z19" s="11" t="s">
        <v>5125</v>
      </c>
      <c r="AA19" s="1" t="s">
        <v>1483</v>
      </c>
      <c r="AB19" s="9"/>
      <c r="AC19" s="1" t="s">
        <v>5126</v>
      </c>
      <c r="AD19" s="1" t="s">
        <v>5127</v>
      </c>
      <c r="AE19" s="1" t="s">
        <v>5128</v>
      </c>
      <c r="AF19" s="11" t="s">
        <v>5129</v>
      </c>
      <c r="AG19" s="1">
        <v>8112569848</v>
      </c>
      <c r="AI19" s="11" t="s">
        <v>5130</v>
      </c>
    </row>
    <row r="20" spans="1:35 16384:16384" x14ac:dyDescent="0.25">
      <c r="A20" s="1" t="s">
        <v>278</v>
      </c>
      <c r="B20" s="18" t="s">
        <v>5132</v>
      </c>
      <c r="C20" s="1" t="s">
        <v>1483</v>
      </c>
      <c r="D20" s="1" t="s">
        <v>5131</v>
      </c>
      <c r="E20" s="1" t="s">
        <v>5133</v>
      </c>
      <c r="F20" s="1" t="s">
        <v>4863</v>
      </c>
      <c r="G20" s="1" t="s">
        <v>4872</v>
      </c>
      <c r="H20" s="1" t="s">
        <v>4869</v>
      </c>
      <c r="I20" s="1" t="s">
        <v>4926</v>
      </c>
      <c r="J20" s="1" t="s">
        <v>4896</v>
      </c>
      <c r="K20" s="1" t="s">
        <v>4911</v>
      </c>
      <c r="L20" s="1" t="s">
        <v>3127</v>
      </c>
      <c r="M20" s="1">
        <v>8123377724</v>
      </c>
      <c r="N20" s="11" t="s">
        <v>5134</v>
      </c>
      <c r="O20" s="1">
        <v>8123377724</v>
      </c>
      <c r="P20" s="9"/>
      <c r="Q20" s="1" t="s">
        <v>5131</v>
      </c>
      <c r="R20" s="1" t="s">
        <v>3127</v>
      </c>
      <c r="S20" s="1">
        <v>8123377724</v>
      </c>
      <c r="T20" s="11" t="s">
        <v>5134</v>
      </c>
      <c r="U20" s="1">
        <v>8123377724</v>
      </c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1" t="s">
        <v>5135</v>
      </c>
    </row>
    <row r="21" spans="1:35 16384:16384" x14ac:dyDescent="0.25">
      <c r="A21" s="1" t="s">
        <v>279</v>
      </c>
      <c r="B21" s="1"/>
      <c r="C21" s="1" t="s">
        <v>5192</v>
      </c>
      <c r="D21" s="1" t="s">
        <v>5190</v>
      </c>
      <c r="E21" s="1" t="s">
        <v>5191</v>
      </c>
      <c r="F21" s="1" t="s">
        <v>4866</v>
      </c>
      <c r="G21" s="1" t="s">
        <v>4873</v>
      </c>
      <c r="H21" s="1" t="s">
        <v>4870</v>
      </c>
      <c r="I21" s="1" t="s">
        <v>5023</v>
      </c>
      <c r="J21" s="1" t="s">
        <v>4896</v>
      </c>
      <c r="K21" s="1" t="s">
        <v>4911</v>
      </c>
      <c r="L21" s="1" t="s">
        <v>1522</v>
      </c>
      <c r="M21" s="1">
        <v>5539089775</v>
      </c>
      <c r="N21" s="11" t="s">
        <v>5193</v>
      </c>
      <c r="O21" s="1">
        <v>5539089775</v>
      </c>
      <c r="P21" s="9"/>
      <c r="Q21" s="1" t="s">
        <v>5191</v>
      </c>
      <c r="R21" s="1" t="s">
        <v>1522</v>
      </c>
      <c r="S21" s="1">
        <v>5539089775</v>
      </c>
      <c r="T21" s="11" t="s">
        <v>5193</v>
      </c>
      <c r="U21" s="1">
        <v>5539089775</v>
      </c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1" t="s">
        <v>5194</v>
      </c>
    </row>
    <row r="22" spans="1:35 16384:16384" x14ac:dyDescent="0.25">
      <c r="A22" s="1" t="s">
        <v>280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 16384:16384" x14ac:dyDescent="0.25">
      <c r="A23" s="1" t="s">
        <v>281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 16384:16384" x14ac:dyDescent="0.25">
      <c r="A24" s="1" t="s">
        <v>282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 16384:16384" x14ac:dyDescent="0.25">
      <c r="A25" s="1" t="s">
        <v>283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 16384:16384" x14ac:dyDescent="0.25">
      <c r="A26" s="1" t="s">
        <v>284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 16384:16384" x14ac:dyDescent="0.25">
      <c r="A27" s="1" t="s">
        <v>285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 16384:16384" x14ac:dyDescent="0.25">
      <c r="A28" s="1" t="s">
        <v>286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 16384:16384" x14ac:dyDescent="0.25">
      <c r="A29" s="1" t="s">
        <v>287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 16384:16384" x14ac:dyDescent="0.25">
      <c r="A30" s="1" t="s">
        <v>288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 16384:16384" x14ac:dyDescent="0.25">
      <c r="A31" s="1" t="s">
        <v>289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 16384:16384" x14ac:dyDescent="0.25">
      <c r="A32" s="1" t="s">
        <v>290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291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292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293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294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295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296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297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298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299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300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301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302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303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304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305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306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307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308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309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SUBTOTAL(103,Tabla9[ARCHIVO])</f>
        <v>20</v>
      </c>
    </row>
  </sheetData>
  <hyperlinks>
    <hyperlink ref="N2" r:id="rId1" xr:uid="{00000000-0004-0000-0600-000000000000}"/>
    <hyperlink ref="Z2" r:id="rId2" xr:uid="{00000000-0004-0000-0600-000001000000}"/>
    <hyperlink ref="AI2" r:id="rId3" xr:uid="{00000000-0004-0000-0600-000002000000}"/>
    <hyperlink ref="T2" r:id="rId4" xr:uid="{00000000-0004-0000-0600-000003000000}"/>
    <hyperlink ref="N3" r:id="rId5" xr:uid="{00000000-0004-0000-0600-000004000000}"/>
    <hyperlink ref="T3" r:id="rId6" xr:uid="{00000000-0004-0000-0600-000005000000}"/>
    <hyperlink ref="N4" r:id="rId7" xr:uid="{00000000-0004-0000-0600-000006000000}"/>
    <hyperlink ref="T4" r:id="rId8" xr:uid="{00000000-0004-0000-0600-000007000000}"/>
    <hyperlink ref="Z4" r:id="rId9" xr:uid="{00000000-0004-0000-0600-000008000000}"/>
    <hyperlink ref="AI4" r:id="rId10" xr:uid="{00000000-0004-0000-0600-000009000000}"/>
    <hyperlink ref="AI3" r:id="rId11" xr:uid="{00000000-0004-0000-0600-00000A000000}"/>
    <hyperlink ref="N5" r:id="rId12" xr:uid="{00000000-0004-0000-0600-00000B000000}"/>
    <hyperlink ref="Z5" r:id="rId13" xr:uid="{00000000-0004-0000-0600-00000C000000}"/>
    <hyperlink ref="T5" r:id="rId14" xr:uid="{00000000-0004-0000-0600-00000D000000}"/>
    <hyperlink ref="AI5" r:id="rId15" xr:uid="{00000000-0004-0000-0600-00000E000000}"/>
    <hyperlink ref="T6" r:id="rId16" xr:uid="{00000000-0004-0000-0600-00000F000000}"/>
    <hyperlink ref="N6" r:id="rId17" xr:uid="{00000000-0004-0000-0600-000010000000}"/>
    <hyperlink ref="Z6" r:id="rId18" xr:uid="{00000000-0004-0000-0600-000011000000}"/>
    <hyperlink ref="AI6" r:id="rId19" xr:uid="{00000000-0004-0000-0600-000012000000}"/>
    <hyperlink ref="N8" r:id="rId20" xr:uid="{00000000-0004-0000-0600-000013000000}"/>
    <hyperlink ref="T8" r:id="rId21" xr:uid="{00000000-0004-0000-0600-000014000000}"/>
    <hyperlink ref="N9" r:id="rId22" xr:uid="{00000000-0004-0000-0600-000015000000}"/>
    <hyperlink ref="T9" r:id="rId23" xr:uid="{00000000-0004-0000-0600-000016000000}"/>
    <hyperlink ref="N10" r:id="rId24" xr:uid="{00000000-0004-0000-0600-000017000000}"/>
    <hyperlink ref="AI10" r:id="rId25" xr:uid="{00000000-0004-0000-0600-000018000000}"/>
    <hyperlink ref="N7" r:id="rId26" xr:uid="{00000000-0004-0000-0600-000019000000}"/>
    <hyperlink ref="AI7" r:id="rId27" xr:uid="{00000000-0004-0000-0600-00001A000000}"/>
    <hyperlink ref="N11" r:id="rId28" xr:uid="{00000000-0004-0000-0600-00001B000000}"/>
    <hyperlink ref="T11" r:id="rId29" xr:uid="{00000000-0004-0000-0600-00001C000000}"/>
    <hyperlink ref="T10" r:id="rId30" xr:uid="{00000000-0004-0000-0600-00001D000000}"/>
    <hyperlink ref="T7" r:id="rId31" xr:uid="{00000000-0004-0000-0600-00001E000000}"/>
    <hyperlink ref="Z11" r:id="rId32" xr:uid="{00000000-0004-0000-0600-00001F000000}"/>
    <hyperlink ref="AI11" r:id="rId33" xr:uid="{00000000-0004-0000-0600-000020000000}"/>
    <hyperlink ref="N12" r:id="rId34" xr:uid="{00000000-0004-0000-0600-000021000000}"/>
    <hyperlink ref="T12" r:id="rId35" xr:uid="{00000000-0004-0000-0600-000022000000}"/>
    <hyperlink ref="AI12" r:id="rId36" xr:uid="{00000000-0004-0000-0600-000023000000}"/>
    <hyperlink ref="AI8" r:id="rId37" xr:uid="{00000000-0004-0000-0600-000024000000}"/>
    <hyperlink ref="AI9" r:id="rId38" xr:uid="{00000000-0004-0000-0600-000025000000}"/>
    <hyperlink ref="N13" r:id="rId39" xr:uid="{00000000-0004-0000-0600-000026000000}"/>
    <hyperlink ref="AI13" r:id="rId40" xr:uid="{00000000-0004-0000-0600-000027000000}"/>
    <hyperlink ref="T13" r:id="rId41" xr:uid="{00000000-0004-0000-0600-000028000000}"/>
    <hyperlink ref="N14" r:id="rId42" xr:uid="{00000000-0004-0000-0600-000029000000}"/>
    <hyperlink ref="T14" r:id="rId43" xr:uid="{00000000-0004-0000-0600-00002A000000}"/>
    <hyperlink ref="Z14" r:id="rId44" xr:uid="{00000000-0004-0000-0600-00002B000000}"/>
    <hyperlink ref="AF14" r:id="rId45" xr:uid="{00000000-0004-0000-0600-00002C000000}"/>
    <hyperlink ref="AI14" r:id="rId46" xr:uid="{00000000-0004-0000-0600-00002D000000}"/>
    <hyperlink ref="N15" r:id="rId47" xr:uid="{00000000-0004-0000-0600-00002E000000}"/>
    <hyperlink ref="Z15" r:id="rId48" xr:uid="{00000000-0004-0000-0600-00002F000000}"/>
    <hyperlink ref="T15" r:id="rId49" xr:uid="{00000000-0004-0000-0600-000030000000}"/>
    <hyperlink ref="AI15" r:id="rId50" xr:uid="{00000000-0004-0000-0600-000031000000}"/>
    <hyperlink ref="N16" r:id="rId51" xr:uid="{00000000-0004-0000-0600-000032000000}"/>
    <hyperlink ref="T16" r:id="rId52" xr:uid="{00000000-0004-0000-0600-000033000000}"/>
    <hyperlink ref="N17" r:id="rId53" xr:uid="{00000000-0004-0000-0600-000034000000}"/>
    <hyperlink ref="T17" r:id="rId54" xr:uid="{00000000-0004-0000-0600-000035000000}"/>
    <hyperlink ref="Z17" r:id="rId55" xr:uid="{00000000-0004-0000-0600-000036000000}"/>
    <hyperlink ref="AI17" r:id="rId56" xr:uid="{00000000-0004-0000-0600-000037000000}"/>
    <hyperlink ref="AI16" r:id="rId57" xr:uid="{00000000-0004-0000-0600-000038000000}"/>
    <hyperlink ref="T18" r:id="rId58" xr:uid="{00000000-0004-0000-0600-000039000000}"/>
    <hyperlink ref="Z18" r:id="rId59" xr:uid="{00000000-0004-0000-0600-00003A000000}"/>
    <hyperlink ref="AF18" r:id="rId60" xr:uid="{00000000-0004-0000-0600-00003B000000}"/>
    <hyperlink ref="AI18" r:id="rId61" xr:uid="{00000000-0004-0000-0600-00003C000000}"/>
    <hyperlink ref="T19" r:id="rId62" xr:uid="{00000000-0004-0000-0600-00003D000000}"/>
    <hyperlink ref="Z19" r:id="rId63" xr:uid="{00000000-0004-0000-0600-00003E000000}"/>
    <hyperlink ref="AF19" r:id="rId64" xr:uid="{00000000-0004-0000-0600-00003F000000}"/>
    <hyperlink ref="AI19" r:id="rId65" xr:uid="{00000000-0004-0000-0600-000040000000}"/>
    <hyperlink ref="N20" r:id="rId66" xr:uid="{00000000-0004-0000-0600-000041000000}"/>
    <hyperlink ref="T20" r:id="rId67" xr:uid="{00000000-0004-0000-0600-000042000000}"/>
    <hyperlink ref="AI20" r:id="rId68" xr:uid="{00000000-0004-0000-0600-000043000000}"/>
    <hyperlink ref="N21" r:id="rId69" xr:uid="{00000000-0004-0000-0600-000044000000}"/>
    <hyperlink ref="T21" r:id="rId70" xr:uid="{00000000-0004-0000-0600-000045000000}"/>
    <hyperlink ref="AI21" r:id="rId71" xr:uid="{00000000-0004-0000-0600-000046000000}"/>
  </hyperlinks>
  <pageMargins left="0.7" right="0.7" top="0.75" bottom="0.75" header="0.3" footer="0.3"/>
  <pageSetup paperSize="9" orientation="portrait" r:id="rId72"/>
  <tableParts count="1">
    <tablePart r:id="rId7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6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6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6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52"/>
  <sheetViews>
    <sheetView topLeftCell="AA17" zoomScale="90" zoomScaleNormal="90" workbookViewId="0">
      <selection activeCell="E8" sqref="E8"/>
    </sheetView>
  </sheetViews>
  <sheetFormatPr baseColWidth="10" defaultRowHeight="15" x14ac:dyDescent="0.25"/>
  <cols>
    <col min="1" max="1" width="7" customWidth="1"/>
    <col min="2" max="2" width="16.140625" customWidth="1"/>
    <col min="3" max="3" width="20.85546875" bestFit="1" customWidth="1"/>
    <col min="4" max="4" width="40.5703125" customWidth="1"/>
    <col min="5" max="5" width="55.42578125" customWidth="1"/>
    <col min="6" max="6" width="27.28515625" customWidth="1"/>
    <col min="7" max="7" width="25" customWidth="1"/>
    <col min="8" max="8" width="13.5703125" customWidth="1"/>
    <col min="9" max="9" width="22.28515625" customWidth="1"/>
    <col min="10" max="10" width="13.5703125" customWidth="1"/>
    <col min="11" max="11" width="26.5703125" customWidth="1"/>
    <col min="12" max="12" width="32.5703125" customWidth="1"/>
    <col min="13" max="13" width="30.28515625" customWidth="1"/>
    <col min="14" max="14" width="40" bestFit="1" customWidth="1"/>
    <col min="15" max="15" width="12" bestFit="1" customWidth="1"/>
    <col min="16" max="16" width="11" customWidth="1"/>
    <col min="17" max="17" width="43.42578125" customWidth="1"/>
    <col min="18" max="18" width="36.28515625" customWidth="1"/>
    <col min="19" max="19" width="31.28515625" customWidth="1"/>
    <col min="20" max="20" width="35.140625" customWidth="1"/>
    <col min="21" max="21" width="12" bestFit="1" customWidth="1"/>
    <col min="22" max="22" width="11" customWidth="1"/>
    <col min="23" max="23" width="44.42578125" customWidth="1"/>
    <col min="24" max="24" width="35.85546875" bestFit="1" customWidth="1"/>
    <col min="25" max="25" width="31.28515625" customWidth="1"/>
    <col min="26" max="26" width="38.7109375" bestFit="1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34.42578125" bestFit="1" customWidth="1"/>
    <col min="33" max="33" width="13" customWidth="1"/>
    <col min="34" max="34" width="11.85546875" customWidth="1"/>
    <col min="35" max="35" width="68.14062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310</v>
      </c>
      <c r="B2" s="18" t="s">
        <v>2864</v>
      </c>
      <c r="C2" s="1" t="s">
        <v>1393</v>
      </c>
      <c r="D2" s="1" t="s">
        <v>1532</v>
      </c>
      <c r="E2" s="1" t="s">
        <v>1533</v>
      </c>
      <c r="F2" s="1" t="s">
        <v>4866</v>
      </c>
      <c r="G2" s="1" t="s">
        <v>4873</v>
      </c>
      <c r="H2" s="1" t="s">
        <v>4869</v>
      </c>
      <c r="I2" s="1" t="s">
        <v>5027</v>
      </c>
      <c r="J2" s="1" t="s">
        <v>4896</v>
      </c>
      <c r="K2" s="1" t="s">
        <v>4924</v>
      </c>
      <c r="L2" s="1" t="s">
        <v>1511</v>
      </c>
      <c r="M2" s="1">
        <v>8112512796</v>
      </c>
      <c r="N2" s="11" t="s">
        <v>1534</v>
      </c>
      <c r="O2" s="1" t="s">
        <v>1483</v>
      </c>
      <c r="P2" s="9"/>
      <c r="Q2" s="1" t="s">
        <v>1535</v>
      </c>
      <c r="R2" s="1" t="s">
        <v>1511</v>
      </c>
      <c r="S2" s="1">
        <v>8120011647</v>
      </c>
      <c r="T2" s="11" t="s">
        <v>1536</v>
      </c>
      <c r="U2" s="1" t="s">
        <v>1483</v>
      </c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1" t="s">
        <v>1537</v>
      </c>
    </row>
    <row r="3" spans="1:35" x14ac:dyDescent="0.25">
      <c r="A3" s="1" t="s">
        <v>311</v>
      </c>
      <c r="B3" s="1"/>
      <c r="C3" s="1" t="s">
        <v>1434</v>
      </c>
      <c r="D3" s="1" t="s">
        <v>1538</v>
      </c>
      <c r="E3" s="1" t="s">
        <v>1542</v>
      </c>
      <c r="F3" s="1" t="s">
        <v>4866</v>
      </c>
      <c r="G3" s="1" t="s">
        <v>4874</v>
      </c>
      <c r="H3" s="1" t="s">
        <v>4869</v>
      </c>
      <c r="I3" s="1" t="s">
        <v>5028</v>
      </c>
      <c r="J3" s="1" t="s">
        <v>4896</v>
      </c>
      <c r="K3" s="1" t="s">
        <v>4911</v>
      </c>
      <c r="L3" s="1" t="s">
        <v>1483</v>
      </c>
      <c r="M3" s="1" t="s">
        <v>1483</v>
      </c>
      <c r="N3" s="1" t="s">
        <v>1483</v>
      </c>
      <c r="O3" s="1" t="s">
        <v>1483</v>
      </c>
      <c r="P3" s="9"/>
      <c r="Q3" s="1" t="s">
        <v>1539</v>
      </c>
      <c r="R3" s="1" t="s">
        <v>1540</v>
      </c>
      <c r="S3" s="1">
        <v>8116101205</v>
      </c>
      <c r="T3" s="11" t="s">
        <v>1541</v>
      </c>
      <c r="U3" s="1">
        <v>8116101205</v>
      </c>
      <c r="V3" s="9"/>
      <c r="W3" s="1" t="s">
        <v>1543</v>
      </c>
      <c r="X3" s="1" t="s">
        <v>1544</v>
      </c>
      <c r="Y3" s="1" t="s">
        <v>1483</v>
      </c>
      <c r="Z3" s="11" t="s">
        <v>1545</v>
      </c>
      <c r="AA3" s="1">
        <v>8119986206</v>
      </c>
      <c r="AB3" s="9"/>
      <c r="AC3" s="1"/>
      <c r="AD3" s="1"/>
      <c r="AE3" s="1"/>
      <c r="AF3" s="1"/>
      <c r="AG3" s="1"/>
      <c r="AI3" s="11" t="s">
        <v>1895</v>
      </c>
    </row>
    <row r="4" spans="1:35" x14ac:dyDescent="0.25">
      <c r="A4" s="1" t="s">
        <v>312</v>
      </c>
      <c r="B4" s="1"/>
      <c r="C4" s="1" t="s">
        <v>1848</v>
      </c>
      <c r="D4" s="1" t="s">
        <v>4939</v>
      </c>
      <c r="E4" s="1" t="s">
        <v>1891</v>
      </c>
      <c r="F4" s="1" t="s">
        <v>4865</v>
      </c>
      <c r="G4" s="1" t="s">
        <v>4873</v>
      </c>
      <c r="H4" s="1" t="s">
        <v>4869</v>
      </c>
      <c r="I4" s="1" t="s">
        <v>4926</v>
      </c>
      <c r="J4" s="1" t="s">
        <v>4896</v>
      </c>
      <c r="K4" s="1" t="s">
        <v>4911</v>
      </c>
      <c r="L4" s="1" t="s">
        <v>1483</v>
      </c>
      <c r="M4" s="1" t="s">
        <v>1483</v>
      </c>
      <c r="N4" s="1" t="s">
        <v>1483</v>
      </c>
      <c r="O4" s="1" t="s">
        <v>1483</v>
      </c>
      <c r="P4" s="9"/>
      <c r="Q4" s="1" t="s">
        <v>1892</v>
      </c>
      <c r="R4" s="1" t="s">
        <v>1461</v>
      </c>
      <c r="S4" s="1">
        <v>8120515816</v>
      </c>
      <c r="T4" s="11" t="s">
        <v>1893</v>
      </c>
      <c r="U4" s="1">
        <v>8120515816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1894</v>
      </c>
    </row>
    <row r="5" spans="1:35" x14ac:dyDescent="0.25">
      <c r="A5" s="1" t="s">
        <v>313</v>
      </c>
      <c r="B5" s="18" t="s">
        <v>2865</v>
      </c>
      <c r="C5" s="1" t="s">
        <v>1827</v>
      </c>
      <c r="D5" s="1" t="s">
        <v>2017</v>
      </c>
      <c r="E5" s="1" t="s">
        <v>2186</v>
      </c>
      <c r="F5" s="1" t="s">
        <v>4865</v>
      </c>
      <c r="G5" s="1" t="s">
        <v>4874</v>
      </c>
      <c r="H5" s="1" t="s">
        <v>4869</v>
      </c>
      <c r="I5" s="1" t="s">
        <v>5022</v>
      </c>
      <c r="J5" s="1" t="s">
        <v>4896</v>
      </c>
      <c r="K5" s="1" t="s">
        <v>4924</v>
      </c>
      <c r="L5" s="1" t="s">
        <v>1483</v>
      </c>
      <c r="M5" s="1" t="s">
        <v>1483</v>
      </c>
      <c r="N5" s="1" t="s">
        <v>1483</v>
      </c>
      <c r="O5" s="1" t="s">
        <v>1483</v>
      </c>
      <c r="P5" s="9"/>
      <c r="Q5" s="1" t="s">
        <v>2187</v>
      </c>
      <c r="R5" s="1" t="s">
        <v>2188</v>
      </c>
      <c r="S5" s="1">
        <v>8182728474</v>
      </c>
      <c r="T5" s="11" t="s">
        <v>2189</v>
      </c>
      <c r="U5" s="1">
        <v>8182728474</v>
      </c>
      <c r="V5" s="9"/>
      <c r="W5" s="1" t="s">
        <v>2190</v>
      </c>
      <c r="X5" s="1" t="s">
        <v>2191</v>
      </c>
      <c r="Y5" s="1">
        <v>8183728474</v>
      </c>
      <c r="Z5" s="11" t="s">
        <v>2192</v>
      </c>
      <c r="AA5" s="1">
        <v>8183728474</v>
      </c>
      <c r="AB5" s="9"/>
      <c r="AC5" s="1" t="s">
        <v>2193</v>
      </c>
      <c r="AD5" s="1" t="s">
        <v>2194</v>
      </c>
      <c r="AE5" s="1">
        <v>8183728474</v>
      </c>
      <c r="AF5" s="1" t="s">
        <v>2195</v>
      </c>
      <c r="AG5" s="1">
        <v>8183728474</v>
      </c>
      <c r="AI5" s="11" t="s">
        <v>2196</v>
      </c>
    </row>
    <row r="6" spans="1:35" x14ac:dyDescent="0.25">
      <c r="A6" s="1" t="s">
        <v>314</v>
      </c>
      <c r="B6" s="18" t="s">
        <v>2866</v>
      </c>
      <c r="C6" s="1" t="s">
        <v>2259</v>
      </c>
      <c r="D6" s="1" t="s">
        <v>2315</v>
      </c>
      <c r="E6" s="1" t="s">
        <v>2316</v>
      </c>
      <c r="F6" s="1" t="s">
        <v>4863</v>
      </c>
      <c r="G6" s="1" t="s">
        <v>4872</v>
      </c>
      <c r="H6" s="1" t="s">
        <v>4869</v>
      </c>
      <c r="I6" s="1" t="s">
        <v>2097</v>
      </c>
      <c r="J6" s="1" t="s">
        <v>4896</v>
      </c>
      <c r="K6" s="1" t="s">
        <v>4911</v>
      </c>
      <c r="L6" s="1" t="s">
        <v>2317</v>
      </c>
      <c r="M6" s="1">
        <v>8281087305</v>
      </c>
      <c r="N6" s="11" t="s">
        <v>2318</v>
      </c>
      <c r="O6" s="1">
        <v>8281087305</v>
      </c>
      <c r="P6" s="9"/>
      <c r="Q6" s="1" t="s">
        <v>2316</v>
      </c>
      <c r="R6" s="1" t="s">
        <v>2317</v>
      </c>
      <c r="S6" s="1">
        <v>8281087305</v>
      </c>
      <c r="T6" s="11" t="s">
        <v>2318</v>
      </c>
      <c r="U6" s="1">
        <v>8281087305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2319</v>
      </c>
    </row>
    <row r="7" spans="1:35" x14ac:dyDescent="0.25">
      <c r="A7" s="1" t="s">
        <v>315</v>
      </c>
      <c r="B7" s="18" t="s">
        <v>4014</v>
      </c>
      <c r="C7" s="1" t="s">
        <v>2259</v>
      </c>
      <c r="D7" s="1" t="s">
        <v>2320</v>
      </c>
      <c r="E7" s="1" t="s">
        <v>2321</v>
      </c>
      <c r="F7" s="1" t="s">
        <v>4866</v>
      </c>
      <c r="G7" s="1" t="s">
        <v>4874</v>
      </c>
      <c r="H7" s="1" t="s">
        <v>4869</v>
      </c>
      <c r="I7" s="1" t="s">
        <v>5063</v>
      </c>
      <c r="J7" s="1" t="s">
        <v>4896</v>
      </c>
      <c r="K7" s="1" t="s">
        <v>4911</v>
      </c>
      <c r="L7" s="1" t="s">
        <v>2229</v>
      </c>
      <c r="M7" s="1">
        <v>8120326316</v>
      </c>
      <c r="N7" s="11" t="s">
        <v>2322</v>
      </c>
      <c r="O7" s="1" t="s">
        <v>1483</v>
      </c>
      <c r="P7" s="9"/>
      <c r="Q7" s="1" t="s">
        <v>2321</v>
      </c>
      <c r="R7" s="1" t="s">
        <v>2229</v>
      </c>
      <c r="S7" s="1">
        <v>8120326316</v>
      </c>
      <c r="T7" s="11" t="s">
        <v>2322</v>
      </c>
      <c r="U7" s="1" t="s">
        <v>1483</v>
      </c>
      <c r="V7" s="9"/>
      <c r="W7" s="1" t="s">
        <v>2323</v>
      </c>
      <c r="X7" s="1" t="s">
        <v>1989</v>
      </c>
      <c r="Y7" s="1">
        <v>8115886668</v>
      </c>
      <c r="Z7" s="11" t="s">
        <v>2324</v>
      </c>
      <c r="AA7" s="1" t="s">
        <v>1483</v>
      </c>
      <c r="AB7" s="9"/>
      <c r="AC7" s="1" t="s">
        <v>2325</v>
      </c>
      <c r="AD7" s="1" t="s">
        <v>2326</v>
      </c>
      <c r="AE7" s="1">
        <v>812610469</v>
      </c>
      <c r="AF7" s="11" t="s">
        <v>2327</v>
      </c>
      <c r="AG7" s="1" t="s">
        <v>1483</v>
      </c>
      <c r="AI7" s="11" t="s">
        <v>2328</v>
      </c>
    </row>
    <row r="8" spans="1:35" x14ac:dyDescent="0.25">
      <c r="A8" s="1" t="s">
        <v>316</v>
      </c>
      <c r="B8" s="18" t="s">
        <v>3927</v>
      </c>
      <c r="C8" s="1" t="s">
        <v>3021</v>
      </c>
      <c r="D8" s="1" t="s">
        <v>3022</v>
      </c>
      <c r="E8" s="1" t="s">
        <v>3023</v>
      </c>
      <c r="F8" s="1" t="s">
        <v>4863</v>
      </c>
      <c r="G8" s="1" t="s">
        <v>4872</v>
      </c>
      <c r="H8" s="1" t="s">
        <v>4869</v>
      </c>
      <c r="I8" s="1" t="s">
        <v>2097</v>
      </c>
      <c r="J8" s="1" t="s">
        <v>4896</v>
      </c>
      <c r="K8" s="1" t="s">
        <v>4911</v>
      </c>
      <c r="L8" s="1" t="s">
        <v>2926</v>
      </c>
      <c r="M8" s="1" t="s">
        <v>1483</v>
      </c>
      <c r="N8" s="1" t="s">
        <v>1483</v>
      </c>
      <c r="O8" s="1" t="s">
        <v>1483</v>
      </c>
      <c r="P8" s="9"/>
      <c r="Q8" s="1" t="s">
        <v>3024</v>
      </c>
      <c r="R8" s="1" t="s">
        <v>1615</v>
      </c>
      <c r="S8" s="1">
        <v>8211429613</v>
      </c>
      <c r="T8" s="11" t="s">
        <v>3025</v>
      </c>
      <c r="U8" s="1">
        <v>8211429613</v>
      </c>
      <c r="V8" s="9"/>
      <c r="W8" s="1" t="s">
        <v>3026</v>
      </c>
      <c r="X8" s="1" t="s">
        <v>3027</v>
      </c>
      <c r="Y8" s="1">
        <v>8121453965</v>
      </c>
      <c r="Z8" s="1" t="s">
        <v>3028</v>
      </c>
      <c r="AA8" s="1">
        <v>8121453965</v>
      </c>
      <c r="AB8" s="9"/>
      <c r="AC8" s="1"/>
      <c r="AD8" s="1"/>
      <c r="AE8" s="1"/>
      <c r="AF8" s="1"/>
      <c r="AG8" s="1"/>
      <c r="AI8" s="11" t="s">
        <v>3777</v>
      </c>
    </row>
    <row r="9" spans="1:35" x14ac:dyDescent="0.25">
      <c r="A9" s="1" t="s">
        <v>317</v>
      </c>
      <c r="B9" s="18" t="s">
        <v>4013</v>
      </c>
      <c r="C9" s="1" t="s">
        <v>2259</v>
      </c>
      <c r="D9" s="1" t="s">
        <v>3029</v>
      </c>
      <c r="E9" s="1" t="s">
        <v>3030</v>
      </c>
      <c r="F9" s="1" t="s">
        <v>4863</v>
      </c>
      <c r="G9" s="1" t="s">
        <v>4872</v>
      </c>
      <c r="H9" s="1" t="s">
        <v>4869</v>
      </c>
      <c r="I9" s="1" t="s">
        <v>4933</v>
      </c>
      <c r="J9" s="1" t="s">
        <v>4896</v>
      </c>
      <c r="K9" s="1" t="s">
        <v>4911</v>
      </c>
      <c r="L9" s="1" t="s">
        <v>1511</v>
      </c>
      <c r="M9" s="1" t="s">
        <v>1483</v>
      </c>
      <c r="N9" s="1" t="s">
        <v>1483</v>
      </c>
      <c r="O9" s="1" t="s">
        <v>1483</v>
      </c>
      <c r="P9" s="9"/>
      <c r="Q9" s="1" t="s">
        <v>3031</v>
      </c>
      <c r="R9" s="1" t="s">
        <v>3032</v>
      </c>
      <c r="S9" s="1">
        <v>8110598323</v>
      </c>
      <c r="T9" s="11" t="s">
        <v>3033</v>
      </c>
      <c r="U9" s="1" t="s">
        <v>1483</v>
      </c>
      <c r="V9" s="9"/>
      <c r="W9" s="1" t="s">
        <v>3034</v>
      </c>
      <c r="X9" s="1" t="s">
        <v>3035</v>
      </c>
      <c r="Y9" s="1">
        <v>8187781693</v>
      </c>
      <c r="Z9" s="11" t="s">
        <v>3036</v>
      </c>
      <c r="AA9" s="1" t="s">
        <v>1483</v>
      </c>
      <c r="AB9" s="9"/>
      <c r="AC9" s="1"/>
      <c r="AD9" s="1"/>
      <c r="AE9" s="1"/>
      <c r="AF9" s="1"/>
      <c r="AG9" s="1"/>
      <c r="AI9" s="11" t="s">
        <v>3778</v>
      </c>
    </row>
    <row r="10" spans="1:35" x14ac:dyDescent="0.25">
      <c r="A10" s="1" t="s">
        <v>318</v>
      </c>
      <c r="B10" s="1"/>
      <c r="C10" s="1" t="s">
        <v>2259</v>
      </c>
      <c r="D10" s="1" t="s">
        <v>3037</v>
      </c>
      <c r="E10" s="1" t="s">
        <v>3038</v>
      </c>
      <c r="F10" s="1" t="s">
        <v>4864</v>
      </c>
      <c r="G10" s="1" t="s">
        <v>4875</v>
      </c>
      <c r="H10" s="1" t="s">
        <v>4869</v>
      </c>
      <c r="I10" s="1" t="s">
        <v>5064</v>
      </c>
      <c r="J10" s="1" t="s">
        <v>4896</v>
      </c>
      <c r="K10" s="1" t="s">
        <v>4911</v>
      </c>
      <c r="L10" s="1" t="s">
        <v>3039</v>
      </c>
      <c r="M10" s="1">
        <v>3121698562</v>
      </c>
      <c r="N10" s="11" t="s">
        <v>3040</v>
      </c>
      <c r="O10" s="1">
        <v>3121698562</v>
      </c>
      <c r="P10" s="9"/>
      <c r="Q10" s="1" t="s">
        <v>3038</v>
      </c>
      <c r="R10" s="1" t="s">
        <v>3039</v>
      </c>
      <c r="S10" s="1">
        <v>3121698562</v>
      </c>
      <c r="T10" s="11" t="s">
        <v>3040</v>
      </c>
      <c r="U10" s="1">
        <v>3121698562</v>
      </c>
      <c r="V10" s="9"/>
      <c r="W10" s="1" t="s">
        <v>3041</v>
      </c>
      <c r="X10" s="1" t="s">
        <v>2245</v>
      </c>
      <c r="Y10" s="1">
        <v>8120109551</v>
      </c>
      <c r="Z10" s="11" t="s">
        <v>3042</v>
      </c>
      <c r="AA10" s="1">
        <v>8120109551</v>
      </c>
      <c r="AB10" s="9"/>
      <c r="AC10" s="1"/>
      <c r="AD10" s="1"/>
      <c r="AE10" s="1"/>
      <c r="AF10" s="1"/>
      <c r="AG10" s="1"/>
      <c r="AI10" s="11" t="s">
        <v>3779</v>
      </c>
    </row>
    <row r="11" spans="1:35" x14ac:dyDescent="0.25">
      <c r="A11" s="1" t="s">
        <v>319</v>
      </c>
      <c r="B11" s="18" t="s">
        <v>3926</v>
      </c>
      <c r="C11" s="1" t="s">
        <v>3043</v>
      </c>
      <c r="D11" s="1" t="s">
        <v>3044</v>
      </c>
      <c r="E11" s="1" t="s">
        <v>3045</v>
      </c>
      <c r="F11" s="1" t="s">
        <v>4866</v>
      </c>
      <c r="G11" s="1" t="s">
        <v>4873</v>
      </c>
      <c r="H11" s="1" t="s">
        <v>4869</v>
      </c>
      <c r="I11" s="1" t="s">
        <v>5065</v>
      </c>
      <c r="J11" s="1" t="s">
        <v>4896</v>
      </c>
      <c r="K11" s="1" t="s">
        <v>4911</v>
      </c>
      <c r="L11" s="1" t="s">
        <v>1615</v>
      </c>
      <c r="M11" s="1">
        <v>8183780737</v>
      </c>
      <c r="N11" s="11" t="s">
        <v>3046</v>
      </c>
      <c r="O11" s="1">
        <v>8112772141</v>
      </c>
      <c r="P11" s="9"/>
      <c r="Q11" s="1" t="s">
        <v>3045</v>
      </c>
      <c r="R11" s="1" t="s">
        <v>1615</v>
      </c>
      <c r="S11" s="1">
        <v>8183780737</v>
      </c>
      <c r="T11" s="11" t="s">
        <v>3046</v>
      </c>
      <c r="U11" s="1">
        <v>8112772141</v>
      </c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1" t="s">
        <v>3780</v>
      </c>
    </row>
    <row r="12" spans="1:35" x14ac:dyDescent="0.25">
      <c r="A12" s="1" t="s">
        <v>320</v>
      </c>
      <c r="B12" s="18" t="s">
        <v>3925</v>
      </c>
      <c r="C12" s="1" t="s">
        <v>2259</v>
      </c>
      <c r="D12" s="1" t="s">
        <v>3047</v>
      </c>
      <c r="E12" s="1" t="s">
        <v>3048</v>
      </c>
      <c r="F12" s="1" t="s">
        <v>4863</v>
      </c>
      <c r="G12" s="1" t="s">
        <v>4873</v>
      </c>
      <c r="H12" s="1" t="s">
        <v>4869</v>
      </c>
      <c r="I12" s="1" t="s">
        <v>4926</v>
      </c>
      <c r="J12" s="1" t="s">
        <v>4896</v>
      </c>
      <c r="K12" s="1" t="s">
        <v>4924</v>
      </c>
      <c r="L12" s="1" t="s">
        <v>1482</v>
      </c>
      <c r="M12" s="1">
        <v>8121275656</v>
      </c>
      <c r="N12" s="11" t="s">
        <v>3049</v>
      </c>
      <c r="O12" s="1">
        <v>8115538069</v>
      </c>
      <c r="P12" s="9"/>
      <c r="Q12" s="1" t="s">
        <v>3048</v>
      </c>
      <c r="R12" s="1" t="s">
        <v>1482</v>
      </c>
      <c r="S12" s="1">
        <v>8121275656</v>
      </c>
      <c r="T12" s="11" t="s">
        <v>3049</v>
      </c>
      <c r="U12" s="1">
        <v>8115538069</v>
      </c>
      <c r="V12" s="9"/>
      <c r="W12" s="1" t="s">
        <v>3050</v>
      </c>
      <c r="X12" s="1" t="s">
        <v>3051</v>
      </c>
      <c r="Y12" s="1">
        <v>8121275656</v>
      </c>
      <c r="Z12" s="11" t="s">
        <v>3052</v>
      </c>
      <c r="AA12" s="1">
        <v>8123814625</v>
      </c>
      <c r="AB12" s="9"/>
      <c r="AC12" s="1"/>
      <c r="AD12" s="1"/>
      <c r="AE12" s="1"/>
      <c r="AF12" s="1"/>
      <c r="AG12" s="1"/>
      <c r="AI12" s="11" t="s">
        <v>3781</v>
      </c>
    </row>
    <row r="13" spans="1:35" x14ac:dyDescent="0.25">
      <c r="A13" s="1" t="s">
        <v>321</v>
      </c>
      <c r="B13" s="18" t="s">
        <v>4012</v>
      </c>
      <c r="C13" s="1" t="s">
        <v>3056</v>
      </c>
      <c r="D13" s="31" t="s">
        <v>3057</v>
      </c>
      <c r="E13" s="1" t="s">
        <v>3058</v>
      </c>
      <c r="F13" s="1" t="s">
        <v>4867</v>
      </c>
      <c r="G13" s="1" t="s">
        <v>4875</v>
      </c>
      <c r="H13" s="1" t="s">
        <v>4869</v>
      </c>
      <c r="I13" s="1" t="s">
        <v>5022</v>
      </c>
      <c r="J13" s="1" t="s">
        <v>4896</v>
      </c>
      <c r="K13" s="1" t="s">
        <v>4946</v>
      </c>
      <c r="L13" s="1" t="s">
        <v>3059</v>
      </c>
      <c r="M13" s="1">
        <v>8181248124</v>
      </c>
      <c r="N13" s="11" t="s">
        <v>3060</v>
      </c>
      <c r="O13" s="1">
        <v>8181248277</v>
      </c>
      <c r="P13" s="9"/>
      <c r="Q13" s="1" t="s">
        <v>3061</v>
      </c>
      <c r="R13" s="1" t="s">
        <v>3062</v>
      </c>
      <c r="S13" s="1">
        <v>8181248124</v>
      </c>
      <c r="T13" s="11" t="s">
        <v>3063</v>
      </c>
      <c r="U13" s="1" t="s">
        <v>1483</v>
      </c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1" t="s">
        <v>3064</v>
      </c>
    </row>
    <row r="14" spans="1:35" x14ac:dyDescent="0.25">
      <c r="A14" s="1" t="s">
        <v>322</v>
      </c>
      <c r="B14" s="1"/>
      <c r="C14" s="1" t="s">
        <v>3053</v>
      </c>
      <c r="D14" s="1" t="s">
        <v>3054</v>
      </c>
      <c r="E14" s="1" t="s">
        <v>3865</v>
      </c>
      <c r="F14" s="1" t="s">
        <v>4865</v>
      </c>
      <c r="G14" s="1" t="s">
        <v>4875</v>
      </c>
      <c r="H14" s="1" t="s">
        <v>4869</v>
      </c>
      <c r="I14" s="1" t="s">
        <v>4945</v>
      </c>
      <c r="J14" s="1" t="s">
        <v>4896</v>
      </c>
      <c r="K14" s="1" t="s">
        <v>4937</v>
      </c>
      <c r="L14" s="1" t="s">
        <v>3866</v>
      </c>
      <c r="M14" s="1" t="s">
        <v>3867</v>
      </c>
      <c r="N14" s="11" t="s">
        <v>3868</v>
      </c>
      <c r="O14" s="1" t="s">
        <v>1483</v>
      </c>
      <c r="P14" s="9"/>
      <c r="Q14" s="1" t="s">
        <v>3869</v>
      </c>
      <c r="R14" s="1" t="s">
        <v>3870</v>
      </c>
      <c r="S14" s="1" t="s">
        <v>3871</v>
      </c>
      <c r="T14" s="30" t="s">
        <v>3876</v>
      </c>
      <c r="U14" s="1" t="s">
        <v>1483</v>
      </c>
      <c r="V14" s="9"/>
      <c r="W14" s="1" t="s">
        <v>3873</v>
      </c>
      <c r="X14" s="1" t="s">
        <v>3874</v>
      </c>
      <c r="Y14" s="1" t="s">
        <v>3875</v>
      </c>
      <c r="Z14" s="11" t="s">
        <v>3872</v>
      </c>
      <c r="AA14" s="1" t="s">
        <v>1483</v>
      </c>
      <c r="AB14" s="9"/>
      <c r="AC14" s="1" t="s">
        <v>3865</v>
      </c>
      <c r="AD14" s="1" t="s">
        <v>3866</v>
      </c>
      <c r="AE14" s="1" t="s">
        <v>3867</v>
      </c>
      <c r="AF14" s="11" t="s">
        <v>3868</v>
      </c>
      <c r="AG14" s="1" t="s">
        <v>1483</v>
      </c>
      <c r="AI14" s="11" t="s">
        <v>3055</v>
      </c>
    </row>
    <row r="15" spans="1:35" x14ac:dyDescent="0.25">
      <c r="A15" s="1" t="s">
        <v>323</v>
      </c>
      <c r="B15" s="18" t="s">
        <v>4011</v>
      </c>
      <c r="C15" s="1" t="s">
        <v>2970</v>
      </c>
      <c r="D15" s="1" t="s">
        <v>3065</v>
      </c>
      <c r="E15" s="1" t="s">
        <v>3066</v>
      </c>
      <c r="F15" s="1" t="s">
        <v>4865</v>
      </c>
      <c r="G15" s="1" t="s">
        <v>4874</v>
      </c>
      <c r="H15" s="1" t="s">
        <v>4869</v>
      </c>
      <c r="I15" s="1" t="s">
        <v>5066</v>
      </c>
      <c r="J15" s="1" t="s">
        <v>4896</v>
      </c>
      <c r="K15" s="1" t="s">
        <v>4931</v>
      </c>
      <c r="L15" s="1" t="s">
        <v>3067</v>
      </c>
      <c r="M15" s="1">
        <v>8114929184</v>
      </c>
      <c r="N15" s="11" t="s">
        <v>3068</v>
      </c>
      <c r="O15" s="1">
        <v>8110668609</v>
      </c>
      <c r="P15" s="9"/>
      <c r="Q15" s="1" t="s">
        <v>3066</v>
      </c>
      <c r="R15" s="1" t="s">
        <v>3067</v>
      </c>
      <c r="S15" s="1">
        <v>8114929184</v>
      </c>
      <c r="T15" s="11" t="s">
        <v>3068</v>
      </c>
      <c r="U15" s="1">
        <v>8110668609</v>
      </c>
      <c r="V15" s="9"/>
      <c r="W15" s="1" t="s">
        <v>3069</v>
      </c>
      <c r="X15" s="1" t="s">
        <v>3070</v>
      </c>
      <c r="Y15" s="1">
        <v>8114929184</v>
      </c>
      <c r="Z15" s="11" t="s">
        <v>3071</v>
      </c>
      <c r="AA15" s="1">
        <v>8114707584</v>
      </c>
      <c r="AB15" s="9"/>
      <c r="AC15" s="1" t="s">
        <v>3072</v>
      </c>
      <c r="AD15" s="1" t="s">
        <v>3073</v>
      </c>
      <c r="AE15" s="1">
        <v>8114929184</v>
      </c>
      <c r="AF15" s="11" t="s">
        <v>3074</v>
      </c>
      <c r="AG15" s="1">
        <v>8134037523</v>
      </c>
      <c r="AI15" s="11" t="s">
        <v>3075</v>
      </c>
    </row>
    <row r="16" spans="1:35" x14ac:dyDescent="0.25">
      <c r="A16" s="1" t="s">
        <v>324</v>
      </c>
      <c r="B16" s="18" t="s">
        <v>4010</v>
      </c>
      <c r="C16" s="1" t="s">
        <v>3076</v>
      </c>
      <c r="D16" s="1" t="s">
        <v>3077</v>
      </c>
      <c r="E16" s="1" t="s">
        <v>3078</v>
      </c>
      <c r="F16" s="1" t="s">
        <v>4867</v>
      </c>
      <c r="G16" s="1" t="s">
        <v>4875</v>
      </c>
      <c r="H16" s="1" t="s">
        <v>4869</v>
      </c>
      <c r="I16" s="1" t="s">
        <v>5067</v>
      </c>
      <c r="J16" s="1" t="s">
        <v>4896</v>
      </c>
      <c r="K16" s="1" t="s">
        <v>4911</v>
      </c>
      <c r="L16" s="1" t="s">
        <v>1511</v>
      </c>
      <c r="M16" s="1">
        <v>8212126045</v>
      </c>
      <c r="N16" s="11" t="s">
        <v>3079</v>
      </c>
      <c r="O16" s="1">
        <v>8212116045</v>
      </c>
      <c r="P16" s="9"/>
      <c r="Q16" s="1" t="s">
        <v>3078</v>
      </c>
      <c r="R16" s="1" t="s">
        <v>1511</v>
      </c>
      <c r="S16" s="1">
        <v>8212126045</v>
      </c>
      <c r="T16" s="11" t="s">
        <v>3079</v>
      </c>
      <c r="U16" s="1">
        <v>8212116045</v>
      </c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1" t="s">
        <v>3782</v>
      </c>
    </row>
    <row r="17" spans="1:35" x14ac:dyDescent="0.25">
      <c r="A17" s="1" t="s">
        <v>325</v>
      </c>
      <c r="B17" s="1"/>
      <c r="C17" s="1" t="s">
        <v>3502</v>
      </c>
      <c r="D17" s="1" t="s">
        <v>3513</v>
      </c>
      <c r="E17" s="1" t="s">
        <v>3514</v>
      </c>
      <c r="F17" s="1" t="s">
        <v>4863</v>
      </c>
      <c r="G17" s="1" t="s">
        <v>4874</v>
      </c>
      <c r="H17" s="1" t="s">
        <v>4869</v>
      </c>
      <c r="I17" s="1" t="s">
        <v>4933</v>
      </c>
      <c r="J17" s="1" t="s">
        <v>4896</v>
      </c>
      <c r="K17" s="1" t="s">
        <v>4911</v>
      </c>
      <c r="L17" s="1" t="s">
        <v>1453</v>
      </c>
      <c r="M17" s="1">
        <v>8182534934</v>
      </c>
      <c r="N17" s="11" t="s">
        <v>3515</v>
      </c>
      <c r="O17" s="1">
        <v>8182534934</v>
      </c>
      <c r="P17" s="9"/>
      <c r="Q17" s="1" t="s">
        <v>3514</v>
      </c>
      <c r="R17" s="1" t="s">
        <v>1453</v>
      </c>
      <c r="S17" s="1">
        <v>8182534934</v>
      </c>
      <c r="T17" s="11" t="s">
        <v>3516</v>
      </c>
      <c r="U17" s="1">
        <v>8182534934</v>
      </c>
      <c r="V17" s="9"/>
      <c r="W17" s="1" t="s">
        <v>3517</v>
      </c>
      <c r="X17" s="1" t="s">
        <v>2102</v>
      </c>
      <c r="Y17" s="1">
        <v>8126222822</v>
      </c>
      <c r="Z17" s="11" t="s">
        <v>3518</v>
      </c>
      <c r="AA17" s="1">
        <v>8126222822</v>
      </c>
      <c r="AB17" s="9"/>
      <c r="AC17" s="1" t="s">
        <v>3519</v>
      </c>
      <c r="AD17" s="1" t="s">
        <v>3520</v>
      </c>
      <c r="AE17" s="1">
        <v>8115991943</v>
      </c>
      <c r="AF17" s="11" t="s">
        <v>3521</v>
      </c>
      <c r="AG17" s="1">
        <v>8115991943</v>
      </c>
      <c r="AI17" s="11" t="s">
        <v>3522</v>
      </c>
    </row>
    <row r="18" spans="1:35" x14ac:dyDescent="0.25">
      <c r="A18" s="1" t="s">
        <v>326</v>
      </c>
      <c r="B18" s="1"/>
      <c r="C18" s="1" t="s">
        <v>3171</v>
      </c>
      <c r="D18" s="1" t="s">
        <v>3523</v>
      </c>
      <c r="E18" s="1" t="s">
        <v>3524</v>
      </c>
      <c r="F18" s="1" t="s">
        <v>4865</v>
      </c>
      <c r="G18" s="1" t="s">
        <v>4874</v>
      </c>
      <c r="H18" s="1" t="s">
        <v>4869</v>
      </c>
      <c r="I18" s="1" t="s">
        <v>5068</v>
      </c>
      <c r="J18" s="1" t="s">
        <v>4896</v>
      </c>
      <c r="K18" s="1" t="s">
        <v>4924</v>
      </c>
      <c r="L18" s="1" t="s">
        <v>3525</v>
      </c>
      <c r="M18" s="1">
        <v>8123537181</v>
      </c>
      <c r="N18" s="11" t="s">
        <v>3526</v>
      </c>
      <c r="O18" s="1">
        <v>8123537181</v>
      </c>
      <c r="P18" s="9"/>
      <c r="Q18" s="1" t="s">
        <v>3524</v>
      </c>
      <c r="R18" s="1" t="s">
        <v>3530</v>
      </c>
      <c r="S18" s="1">
        <v>8123537181</v>
      </c>
      <c r="T18" s="11" t="s">
        <v>3527</v>
      </c>
      <c r="U18" s="1">
        <v>8123537181</v>
      </c>
      <c r="V18" s="9"/>
      <c r="W18" s="1" t="s">
        <v>3528</v>
      </c>
      <c r="X18" s="1" t="s">
        <v>3529</v>
      </c>
      <c r="Y18" s="1">
        <v>8186894580</v>
      </c>
      <c r="Z18" s="11" t="s">
        <v>3531</v>
      </c>
      <c r="AA18" s="1">
        <v>8186894580</v>
      </c>
      <c r="AB18" s="9"/>
      <c r="AC18" s="1"/>
      <c r="AD18" s="1"/>
      <c r="AE18" s="1"/>
      <c r="AF18" s="1"/>
      <c r="AG18" s="1"/>
      <c r="AI18" s="11" t="s">
        <v>3532</v>
      </c>
    </row>
    <row r="19" spans="1:35" x14ac:dyDescent="0.25">
      <c r="A19" s="1" t="s">
        <v>327</v>
      </c>
      <c r="B19" s="18" t="s">
        <v>3924</v>
      </c>
      <c r="C19" s="1" t="s">
        <v>3533</v>
      </c>
      <c r="D19" s="1" t="s">
        <v>3534</v>
      </c>
      <c r="E19" s="1" t="s">
        <v>3535</v>
      </c>
      <c r="F19" s="1" t="s">
        <v>4864</v>
      </c>
      <c r="G19" s="1" t="s">
        <v>4875</v>
      </c>
      <c r="H19" s="1" t="s">
        <v>4869</v>
      </c>
      <c r="I19" s="1" t="s">
        <v>5069</v>
      </c>
      <c r="J19" s="1" t="s">
        <v>4896</v>
      </c>
      <c r="K19" s="1" t="s">
        <v>4911</v>
      </c>
      <c r="L19" s="1" t="s">
        <v>3536</v>
      </c>
      <c r="M19" s="1">
        <v>8281010532</v>
      </c>
      <c r="N19" s="11" t="s">
        <v>3537</v>
      </c>
      <c r="O19" s="1">
        <v>8281010532</v>
      </c>
      <c r="P19" s="9"/>
      <c r="Q19" s="1" t="s">
        <v>3535</v>
      </c>
      <c r="R19" s="1" t="s">
        <v>3536</v>
      </c>
      <c r="S19" s="1">
        <v>8281010532</v>
      </c>
      <c r="T19" s="11" t="s">
        <v>3537</v>
      </c>
      <c r="U19" s="1">
        <v>8281010532</v>
      </c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1" t="s">
        <v>3538</v>
      </c>
    </row>
    <row r="20" spans="1:35" x14ac:dyDescent="0.25">
      <c r="A20" s="1" t="s">
        <v>328</v>
      </c>
      <c r="B20" s="1"/>
      <c r="C20" s="1" t="s">
        <v>3076</v>
      </c>
      <c r="D20" s="1" t="s">
        <v>4158</v>
      </c>
      <c r="E20" s="1" t="s">
        <v>4161</v>
      </c>
      <c r="F20" s="1" t="s">
        <v>4866</v>
      </c>
      <c r="G20" s="1" t="s">
        <v>4873</v>
      </c>
      <c r="H20" s="1" t="s">
        <v>4869</v>
      </c>
      <c r="I20" s="1" t="s">
        <v>5006</v>
      </c>
      <c r="J20" s="1" t="s">
        <v>4896</v>
      </c>
      <c r="K20" s="1" t="s">
        <v>4911</v>
      </c>
      <c r="L20" s="1" t="s">
        <v>4159</v>
      </c>
      <c r="M20" s="1">
        <v>8114828940</v>
      </c>
      <c r="N20" s="11" t="s">
        <v>4160</v>
      </c>
      <c r="O20" s="1">
        <v>8114828940</v>
      </c>
      <c r="P20" s="9"/>
      <c r="Q20" s="1" t="s">
        <v>4161</v>
      </c>
      <c r="R20" s="1" t="s">
        <v>4159</v>
      </c>
      <c r="S20" s="1">
        <v>8114828940</v>
      </c>
      <c r="T20" s="11" t="s">
        <v>4160</v>
      </c>
      <c r="U20" s="1">
        <v>8114828940</v>
      </c>
      <c r="V20" s="9"/>
      <c r="W20" s="1" t="s">
        <v>4162</v>
      </c>
      <c r="X20" s="1" t="s">
        <v>4163</v>
      </c>
      <c r="Y20" s="1">
        <v>8110828281</v>
      </c>
      <c r="Z20" s="11" t="s">
        <v>4164</v>
      </c>
      <c r="AA20" s="1">
        <v>8110828281</v>
      </c>
      <c r="AB20" s="9"/>
      <c r="AC20" s="1" t="s">
        <v>4165</v>
      </c>
      <c r="AD20" s="1" t="s">
        <v>4166</v>
      </c>
      <c r="AE20" s="1">
        <v>8120092207</v>
      </c>
      <c r="AF20" s="11" t="s">
        <v>4167</v>
      </c>
      <c r="AG20" s="1">
        <v>812002207</v>
      </c>
      <c r="AI20" s="11" t="s">
        <v>4168</v>
      </c>
    </row>
    <row r="21" spans="1:35" x14ac:dyDescent="0.25">
      <c r="A21" s="1" t="s">
        <v>329</v>
      </c>
      <c r="B21" s="1" t="s">
        <v>4201</v>
      </c>
      <c r="C21" s="1" t="s">
        <v>4200</v>
      </c>
      <c r="D21" s="1" t="s">
        <v>4199</v>
      </c>
      <c r="E21" s="1" t="s">
        <v>4202</v>
      </c>
      <c r="F21" s="1" t="s">
        <v>4866</v>
      </c>
      <c r="G21" s="1" t="s">
        <v>4873</v>
      </c>
      <c r="H21" s="1" t="s">
        <v>4869</v>
      </c>
      <c r="I21" s="1" t="s">
        <v>5070</v>
      </c>
      <c r="J21" s="1" t="s">
        <v>4896</v>
      </c>
      <c r="K21" s="1" t="s">
        <v>4924</v>
      </c>
      <c r="L21" s="1" t="s">
        <v>2053</v>
      </c>
      <c r="M21" s="1" t="s">
        <v>1483</v>
      </c>
      <c r="N21" s="11" t="s">
        <v>4203</v>
      </c>
      <c r="O21" s="1">
        <v>8120229003</v>
      </c>
      <c r="P21" s="9"/>
      <c r="Q21" s="1" t="s">
        <v>4204</v>
      </c>
      <c r="R21" s="1" t="s">
        <v>4205</v>
      </c>
      <c r="S21" s="1" t="s">
        <v>1483</v>
      </c>
      <c r="T21" s="11" t="s">
        <v>4206</v>
      </c>
      <c r="U21" s="1">
        <v>8120229003</v>
      </c>
      <c r="V21" s="9"/>
      <c r="W21" s="1" t="s">
        <v>4202</v>
      </c>
      <c r="X21" s="1" t="s">
        <v>2053</v>
      </c>
      <c r="Y21" s="1" t="s">
        <v>1483</v>
      </c>
      <c r="Z21" s="11" t="s">
        <v>4203</v>
      </c>
      <c r="AA21" s="1">
        <v>8120229003</v>
      </c>
      <c r="AB21" s="9"/>
      <c r="AC21" s="1"/>
      <c r="AD21" s="1"/>
      <c r="AE21" s="1"/>
      <c r="AF21" s="1"/>
      <c r="AG21" s="1"/>
      <c r="AI21" s="11" t="s">
        <v>4207</v>
      </c>
    </row>
    <row r="22" spans="1:35" x14ac:dyDescent="0.25">
      <c r="A22" s="1" t="s">
        <v>330</v>
      </c>
      <c r="B22" s="18" t="s">
        <v>4311</v>
      </c>
      <c r="C22" s="1" t="s">
        <v>4192</v>
      </c>
      <c r="D22" s="1" t="s">
        <v>4310</v>
      </c>
      <c r="E22" s="1" t="s">
        <v>4312</v>
      </c>
      <c r="F22" s="1" t="s">
        <v>4865</v>
      </c>
      <c r="G22" s="1" t="s">
        <v>4874</v>
      </c>
      <c r="H22" s="1" t="s">
        <v>4869</v>
      </c>
      <c r="I22" s="1" t="s">
        <v>5071</v>
      </c>
      <c r="J22" s="1" t="s">
        <v>4896</v>
      </c>
      <c r="K22" s="1" t="s">
        <v>4911</v>
      </c>
      <c r="L22" s="1" t="s">
        <v>1482</v>
      </c>
      <c r="M22" s="1">
        <v>8211192026</v>
      </c>
      <c r="N22" s="11" t="s">
        <v>4313</v>
      </c>
      <c r="O22" s="1">
        <v>8211192026</v>
      </c>
      <c r="P22" s="9"/>
      <c r="Q22" s="1" t="s">
        <v>4314</v>
      </c>
      <c r="R22" s="1" t="s">
        <v>4315</v>
      </c>
      <c r="S22" s="1">
        <v>8211231132</v>
      </c>
      <c r="T22" s="11" t="s">
        <v>4316</v>
      </c>
      <c r="U22" s="1">
        <v>8211231132</v>
      </c>
      <c r="V22" s="9"/>
      <c r="W22" s="1" t="s">
        <v>4312</v>
      </c>
      <c r="X22" s="1" t="s">
        <v>1482</v>
      </c>
      <c r="Y22" s="1">
        <v>8211192026</v>
      </c>
      <c r="Z22" s="11" t="s">
        <v>4313</v>
      </c>
      <c r="AA22" s="1">
        <v>8211192026</v>
      </c>
      <c r="AB22" s="9"/>
      <c r="AC22" s="1"/>
      <c r="AD22" s="1"/>
      <c r="AE22" s="1"/>
      <c r="AF22" s="1"/>
      <c r="AG22" s="1"/>
      <c r="AI22" s="11" t="s">
        <v>4317</v>
      </c>
    </row>
    <row r="23" spans="1:35" x14ac:dyDescent="0.25">
      <c r="A23" s="1" t="s">
        <v>331</v>
      </c>
      <c r="B23" s="18" t="s">
        <v>4417</v>
      </c>
      <c r="C23" s="1" t="s">
        <v>4375</v>
      </c>
      <c r="D23" s="1" t="s">
        <v>4416</v>
      </c>
      <c r="E23" s="1" t="s">
        <v>4418</v>
      </c>
      <c r="F23" s="1" t="s">
        <v>4864</v>
      </c>
      <c r="G23" s="1" t="s">
        <v>4874</v>
      </c>
      <c r="H23" s="1" t="s">
        <v>4869</v>
      </c>
      <c r="I23" s="1" t="s">
        <v>5066</v>
      </c>
      <c r="J23" s="1" t="s">
        <v>4896</v>
      </c>
      <c r="K23" s="1" t="s">
        <v>4924</v>
      </c>
      <c r="L23" s="1" t="s">
        <v>1511</v>
      </c>
      <c r="M23" s="36" t="s">
        <v>4419</v>
      </c>
      <c r="N23" s="11" t="s">
        <v>4420</v>
      </c>
      <c r="O23" s="1">
        <v>8113243356</v>
      </c>
      <c r="P23" s="9"/>
      <c r="Q23" s="1" t="s">
        <v>4421</v>
      </c>
      <c r="R23" s="1" t="s">
        <v>4422</v>
      </c>
      <c r="S23" s="1">
        <v>8110667936</v>
      </c>
      <c r="T23" s="11" t="s">
        <v>4423</v>
      </c>
      <c r="U23" s="1">
        <v>8110667936</v>
      </c>
      <c r="V23" s="9"/>
      <c r="W23" s="1" t="s">
        <v>4418</v>
      </c>
      <c r="X23" s="1" t="s">
        <v>1511</v>
      </c>
      <c r="Y23" s="36" t="s">
        <v>4419</v>
      </c>
      <c r="Z23" s="11" t="s">
        <v>4420</v>
      </c>
      <c r="AA23" s="1">
        <v>8113243356</v>
      </c>
      <c r="AB23" s="9"/>
      <c r="AC23" s="1"/>
      <c r="AD23" s="1"/>
      <c r="AE23" s="1"/>
      <c r="AF23" s="1"/>
      <c r="AG23" s="1"/>
      <c r="AI23" s="11" t="s">
        <v>4424</v>
      </c>
    </row>
    <row r="24" spans="1:35" x14ac:dyDescent="0.25">
      <c r="A24" s="1" t="s">
        <v>332</v>
      </c>
      <c r="B24" s="1"/>
      <c r="C24" s="1" t="s">
        <v>4458</v>
      </c>
      <c r="D24" s="1" t="s">
        <v>4457</v>
      </c>
      <c r="E24" s="1" t="s">
        <v>4459</v>
      </c>
      <c r="F24" s="1" t="s">
        <v>4865</v>
      </c>
      <c r="G24" s="1" t="s">
        <v>4873</v>
      </c>
      <c r="H24" s="1" t="s">
        <v>4869</v>
      </c>
      <c r="I24" s="1" t="s">
        <v>5068</v>
      </c>
      <c r="J24" s="1" t="s">
        <v>4896</v>
      </c>
      <c r="K24" s="1" t="s">
        <v>4911</v>
      </c>
      <c r="L24" s="1" t="s">
        <v>1989</v>
      </c>
      <c r="M24" s="1">
        <v>8115148181</v>
      </c>
      <c r="N24" s="11" t="s">
        <v>4460</v>
      </c>
      <c r="O24" s="1">
        <v>8115148181</v>
      </c>
      <c r="P24" s="9"/>
      <c r="Q24" s="1" t="s">
        <v>4459</v>
      </c>
      <c r="R24" s="1" t="s">
        <v>1989</v>
      </c>
      <c r="S24" s="1">
        <v>8115148181</v>
      </c>
      <c r="T24" s="11" t="s">
        <v>4460</v>
      </c>
      <c r="U24" s="1">
        <v>8115148181</v>
      </c>
      <c r="V24" s="9"/>
      <c r="W24" s="1" t="s">
        <v>4461</v>
      </c>
      <c r="X24" s="1" t="s">
        <v>4045</v>
      </c>
      <c r="Y24" s="1">
        <v>81209032415</v>
      </c>
      <c r="Z24" s="11" t="s">
        <v>4462</v>
      </c>
      <c r="AA24" s="1">
        <v>81209032415</v>
      </c>
      <c r="AB24" s="9"/>
      <c r="AC24" s="1" t="s">
        <v>4463</v>
      </c>
      <c r="AD24" s="1" t="s">
        <v>1368</v>
      </c>
      <c r="AE24" s="1">
        <v>8126364846</v>
      </c>
      <c r="AF24" s="11" t="s">
        <v>4464</v>
      </c>
      <c r="AG24" s="1">
        <v>8126364846</v>
      </c>
      <c r="AI24" s="11" t="s">
        <v>4465</v>
      </c>
    </row>
    <row r="25" spans="1:35" x14ac:dyDescent="0.25">
      <c r="A25" s="1" t="s">
        <v>333</v>
      </c>
      <c r="B25" s="18" t="s">
        <v>4666</v>
      </c>
      <c r="C25" s="1" t="s">
        <v>4490</v>
      </c>
      <c r="D25" s="1" t="s">
        <v>4560</v>
      </c>
      <c r="E25" s="1" t="s">
        <v>4561</v>
      </c>
      <c r="F25" s="1" t="s">
        <v>4865</v>
      </c>
      <c r="G25" s="1" t="s">
        <v>4875</v>
      </c>
      <c r="H25" s="1" t="s">
        <v>4869</v>
      </c>
      <c r="I25" s="1" t="s">
        <v>3312</v>
      </c>
      <c r="J25" s="1" t="s">
        <v>4896</v>
      </c>
      <c r="K25" s="1" t="s">
        <v>4911</v>
      </c>
      <c r="L25" s="1" t="s">
        <v>4562</v>
      </c>
      <c r="M25" s="1">
        <v>8116909453</v>
      </c>
      <c r="N25" s="11" t="s">
        <v>4563</v>
      </c>
      <c r="O25" s="1">
        <v>8116909453</v>
      </c>
      <c r="P25" s="9"/>
      <c r="Q25" s="1" t="s">
        <v>4564</v>
      </c>
      <c r="R25" s="1" t="s">
        <v>4565</v>
      </c>
      <c r="S25" s="1">
        <v>5549666115</v>
      </c>
      <c r="T25" s="11" t="s">
        <v>4566</v>
      </c>
      <c r="U25" s="1">
        <v>5549666115</v>
      </c>
      <c r="V25" s="9"/>
      <c r="W25" s="1" t="s">
        <v>4561</v>
      </c>
      <c r="X25" s="1" t="s">
        <v>4562</v>
      </c>
      <c r="Y25" s="1">
        <v>8116909453</v>
      </c>
      <c r="Z25" s="11" t="s">
        <v>4563</v>
      </c>
      <c r="AA25" s="1">
        <v>8116909453</v>
      </c>
      <c r="AB25" s="9"/>
      <c r="AC25" s="1"/>
      <c r="AD25" s="1"/>
      <c r="AE25" s="1"/>
      <c r="AF25" s="1"/>
      <c r="AG25" s="1"/>
      <c r="AI25" s="11" t="s">
        <v>4567</v>
      </c>
    </row>
    <row r="26" spans="1:35" x14ac:dyDescent="0.25">
      <c r="A26" s="1" t="s">
        <v>334</v>
      </c>
      <c r="B26" s="18" t="s">
        <v>5030</v>
      </c>
      <c r="C26" s="1" t="s">
        <v>1398</v>
      </c>
      <c r="D26" s="1" t="s">
        <v>5029</v>
      </c>
      <c r="E26" s="1" t="s">
        <v>5031</v>
      </c>
      <c r="F26" s="1" t="s">
        <v>4864</v>
      </c>
      <c r="G26" s="1" t="s">
        <v>4875</v>
      </c>
      <c r="H26" s="1" t="s">
        <v>4869</v>
      </c>
      <c r="I26" s="1" t="s">
        <v>4920</v>
      </c>
      <c r="J26" s="1" t="s">
        <v>4896</v>
      </c>
      <c r="K26" s="1" t="s">
        <v>4924</v>
      </c>
      <c r="L26" s="1" t="s">
        <v>4498</v>
      </c>
      <c r="M26" s="1">
        <v>8113994572</v>
      </c>
      <c r="N26" s="11" t="s">
        <v>5032</v>
      </c>
      <c r="O26" s="1">
        <v>8113994572</v>
      </c>
      <c r="P26" s="9"/>
      <c r="Q26" s="1" t="s">
        <v>5031</v>
      </c>
      <c r="R26" s="1" t="s">
        <v>4498</v>
      </c>
      <c r="S26" s="1">
        <v>8113994572</v>
      </c>
      <c r="T26" s="11" t="s">
        <v>5032</v>
      </c>
      <c r="U26" s="1">
        <v>8113994572</v>
      </c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1" t="s">
        <v>5033</v>
      </c>
    </row>
    <row r="27" spans="1:35" x14ac:dyDescent="0.25">
      <c r="A27" s="1" t="s">
        <v>335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336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337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338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339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340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341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342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343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344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345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346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347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348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349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350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351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352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353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354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355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356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357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358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359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SUBTOTAL(103,Tabla10[ARCHIVO])</f>
        <v>25</v>
      </c>
    </row>
  </sheetData>
  <hyperlinks>
    <hyperlink ref="N2" r:id="rId1" xr:uid="{00000000-0004-0000-0700-000000000000}"/>
    <hyperlink ref="T2" r:id="rId2" xr:uid="{00000000-0004-0000-0700-000001000000}"/>
    <hyperlink ref="AI2" r:id="rId3" xr:uid="{00000000-0004-0000-0700-000002000000}"/>
    <hyperlink ref="T3" r:id="rId4" xr:uid="{00000000-0004-0000-0700-000003000000}"/>
    <hyperlink ref="Z3" r:id="rId5" xr:uid="{00000000-0004-0000-0700-000004000000}"/>
    <hyperlink ref="T4" r:id="rId6" xr:uid="{00000000-0004-0000-0700-000005000000}"/>
    <hyperlink ref="AI4" r:id="rId7" xr:uid="{00000000-0004-0000-0700-000006000000}"/>
    <hyperlink ref="AI3" r:id="rId8" xr:uid="{00000000-0004-0000-0700-000007000000}"/>
    <hyperlink ref="T5" r:id="rId9" xr:uid="{00000000-0004-0000-0700-000008000000}"/>
    <hyperlink ref="Z5" r:id="rId10" xr:uid="{00000000-0004-0000-0700-000009000000}"/>
    <hyperlink ref="AI5" r:id="rId11" xr:uid="{00000000-0004-0000-0700-00000A000000}"/>
    <hyperlink ref="N6" r:id="rId12" xr:uid="{00000000-0004-0000-0700-00000B000000}"/>
    <hyperlink ref="AI6" r:id="rId13" xr:uid="{00000000-0004-0000-0700-00000C000000}"/>
    <hyperlink ref="N7" r:id="rId14" xr:uid="{00000000-0004-0000-0700-00000D000000}"/>
    <hyperlink ref="T7" r:id="rId15" xr:uid="{00000000-0004-0000-0700-00000E000000}"/>
    <hyperlink ref="Z7" r:id="rId16" xr:uid="{00000000-0004-0000-0700-00000F000000}"/>
    <hyperlink ref="AF7" r:id="rId17" xr:uid="{00000000-0004-0000-0700-000010000000}"/>
    <hyperlink ref="AI7" r:id="rId18" xr:uid="{00000000-0004-0000-0700-000011000000}"/>
    <hyperlink ref="T8" r:id="rId19" xr:uid="{00000000-0004-0000-0700-000012000000}"/>
    <hyperlink ref="T9" r:id="rId20" xr:uid="{00000000-0004-0000-0700-000013000000}"/>
    <hyperlink ref="Z9" r:id="rId21" xr:uid="{00000000-0004-0000-0700-000014000000}"/>
    <hyperlink ref="N10" r:id="rId22" xr:uid="{00000000-0004-0000-0700-000015000000}"/>
    <hyperlink ref="T10" r:id="rId23" xr:uid="{00000000-0004-0000-0700-000016000000}"/>
    <hyperlink ref="Z10" r:id="rId24" xr:uid="{00000000-0004-0000-0700-000017000000}"/>
    <hyperlink ref="N11" r:id="rId25" xr:uid="{00000000-0004-0000-0700-000018000000}"/>
    <hyperlink ref="N12" r:id="rId26" xr:uid="{00000000-0004-0000-0700-000019000000}"/>
    <hyperlink ref="Z12" r:id="rId27" xr:uid="{00000000-0004-0000-0700-00001A000000}"/>
    <hyperlink ref="T12" r:id="rId28" xr:uid="{00000000-0004-0000-0700-00001B000000}"/>
    <hyperlink ref="AI14" r:id="rId29" xr:uid="{00000000-0004-0000-0700-00001C000000}"/>
    <hyperlink ref="N13" r:id="rId30" xr:uid="{00000000-0004-0000-0700-00001D000000}"/>
    <hyperlink ref="T13" r:id="rId31" xr:uid="{00000000-0004-0000-0700-00001E000000}"/>
    <hyperlink ref="AI13" r:id="rId32" xr:uid="{00000000-0004-0000-0700-00001F000000}"/>
    <hyperlink ref="N15" r:id="rId33" xr:uid="{00000000-0004-0000-0700-000020000000}"/>
    <hyperlink ref="AF15" r:id="rId34" xr:uid="{00000000-0004-0000-0700-000021000000}"/>
    <hyperlink ref="Z15" r:id="rId35" xr:uid="{00000000-0004-0000-0700-000022000000}"/>
    <hyperlink ref="T15" r:id="rId36" xr:uid="{00000000-0004-0000-0700-000023000000}"/>
    <hyperlink ref="AI15" r:id="rId37" xr:uid="{00000000-0004-0000-0700-000024000000}"/>
    <hyperlink ref="N16" r:id="rId38" xr:uid="{00000000-0004-0000-0700-000025000000}"/>
    <hyperlink ref="T16" r:id="rId39" xr:uid="{00000000-0004-0000-0700-000026000000}"/>
    <hyperlink ref="N17" r:id="rId40" xr:uid="{00000000-0004-0000-0700-000027000000}"/>
    <hyperlink ref="T17" r:id="rId41" xr:uid="{00000000-0004-0000-0700-000028000000}"/>
    <hyperlink ref="Z17" r:id="rId42" xr:uid="{00000000-0004-0000-0700-000029000000}"/>
    <hyperlink ref="AF17" r:id="rId43" xr:uid="{00000000-0004-0000-0700-00002A000000}"/>
    <hyperlink ref="AI17" r:id="rId44" xr:uid="{00000000-0004-0000-0700-00002B000000}"/>
    <hyperlink ref="N18" r:id="rId45" xr:uid="{00000000-0004-0000-0700-00002C000000}"/>
    <hyperlink ref="T18" r:id="rId46" xr:uid="{00000000-0004-0000-0700-00002D000000}"/>
    <hyperlink ref="Z18" r:id="rId47" xr:uid="{00000000-0004-0000-0700-00002E000000}"/>
    <hyperlink ref="AI18" r:id="rId48" xr:uid="{00000000-0004-0000-0700-00002F000000}"/>
    <hyperlink ref="N19" r:id="rId49" xr:uid="{00000000-0004-0000-0700-000030000000}"/>
    <hyperlink ref="AI19" r:id="rId50" xr:uid="{00000000-0004-0000-0700-000031000000}"/>
    <hyperlink ref="AI8" r:id="rId51" xr:uid="{00000000-0004-0000-0700-000032000000}"/>
    <hyperlink ref="AI9" r:id="rId52" xr:uid="{00000000-0004-0000-0700-000033000000}"/>
    <hyperlink ref="AI10" r:id="rId53" xr:uid="{00000000-0004-0000-0700-000034000000}"/>
    <hyperlink ref="AI11" r:id="rId54" xr:uid="{00000000-0004-0000-0700-000035000000}"/>
    <hyperlink ref="AI12" r:id="rId55" xr:uid="{00000000-0004-0000-0700-000036000000}"/>
    <hyperlink ref="AI16" r:id="rId56" xr:uid="{00000000-0004-0000-0700-000037000000}"/>
    <hyperlink ref="T6" r:id="rId57" xr:uid="{00000000-0004-0000-0700-000038000000}"/>
    <hyperlink ref="T11" r:id="rId58" xr:uid="{00000000-0004-0000-0700-000039000000}"/>
    <hyperlink ref="N14" r:id="rId59" xr:uid="{00000000-0004-0000-0700-00003A000000}"/>
    <hyperlink ref="Z14" r:id="rId60" xr:uid="{00000000-0004-0000-0700-00003B000000}"/>
    <hyperlink ref="T14" r:id="rId61" xr:uid="{00000000-0004-0000-0700-00003C000000}"/>
    <hyperlink ref="AF14" r:id="rId62" xr:uid="{00000000-0004-0000-0700-00003D000000}"/>
    <hyperlink ref="N20" r:id="rId63" xr:uid="{00000000-0004-0000-0700-00003E000000}"/>
    <hyperlink ref="T20" r:id="rId64" xr:uid="{00000000-0004-0000-0700-00003F000000}"/>
    <hyperlink ref="Z20" r:id="rId65" xr:uid="{00000000-0004-0000-0700-000040000000}"/>
    <hyperlink ref="AF20" r:id="rId66" xr:uid="{00000000-0004-0000-0700-000041000000}"/>
    <hyperlink ref="AI20" r:id="rId67" xr:uid="{00000000-0004-0000-0700-000042000000}"/>
    <hyperlink ref="N21" r:id="rId68" xr:uid="{00000000-0004-0000-0700-000043000000}"/>
    <hyperlink ref="Z21" r:id="rId69" xr:uid="{00000000-0004-0000-0700-000044000000}"/>
    <hyperlink ref="T19" r:id="rId70" xr:uid="{00000000-0004-0000-0700-000045000000}"/>
    <hyperlink ref="T21" r:id="rId71" xr:uid="{00000000-0004-0000-0700-000046000000}"/>
    <hyperlink ref="AI21" r:id="rId72" xr:uid="{00000000-0004-0000-0700-000047000000}"/>
    <hyperlink ref="N22" r:id="rId73" xr:uid="{00000000-0004-0000-0700-000048000000}"/>
    <hyperlink ref="Z22" r:id="rId74" xr:uid="{00000000-0004-0000-0700-000049000000}"/>
    <hyperlink ref="T22" r:id="rId75" xr:uid="{00000000-0004-0000-0700-00004A000000}"/>
    <hyperlink ref="AI22" r:id="rId76" xr:uid="{00000000-0004-0000-0700-00004B000000}"/>
    <hyperlink ref="N23" r:id="rId77" xr:uid="{00000000-0004-0000-0700-00004C000000}"/>
    <hyperlink ref="T23" r:id="rId78" xr:uid="{00000000-0004-0000-0700-00004D000000}"/>
    <hyperlink ref="Z23" r:id="rId79" xr:uid="{00000000-0004-0000-0700-00004E000000}"/>
    <hyperlink ref="AI23" r:id="rId80" xr:uid="{00000000-0004-0000-0700-00004F000000}"/>
    <hyperlink ref="N24" r:id="rId81" xr:uid="{00000000-0004-0000-0700-000050000000}"/>
    <hyperlink ref="T24" r:id="rId82" xr:uid="{00000000-0004-0000-0700-000051000000}"/>
    <hyperlink ref="Z24" r:id="rId83" xr:uid="{00000000-0004-0000-0700-000052000000}"/>
    <hyperlink ref="AF24" r:id="rId84" xr:uid="{00000000-0004-0000-0700-000053000000}"/>
    <hyperlink ref="AI24" r:id="rId85" xr:uid="{00000000-0004-0000-0700-000054000000}"/>
    <hyperlink ref="N25" r:id="rId86" xr:uid="{00000000-0004-0000-0700-000055000000}"/>
    <hyperlink ref="T25" r:id="rId87" xr:uid="{00000000-0004-0000-0700-000056000000}"/>
    <hyperlink ref="Z25" r:id="rId88" xr:uid="{00000000-0004-0000-0700-000057000000}"/>
    <hyperlink ref="AI25" r:id="rId89" xr:uid="{00000000-0004-0000-0700-000058000000}"/>
    <hyperlink ref="N26" r:id="rId90" xr:uid="{00000000-0004-0000-0700-000059000000}"/>
    <hyperlink ref="T26" r:id="rId91" xr:uid="{00000000-0004-0000-0700-00005A000000}"/>
    <hyperlink ref="AI26" r:id="rId92" xr:uid="{00000000-0004-0000-0700-00005B000000}"/>
  </hyperlinks>
  <pageMargins left="0.7" right="0.7" top="0.75" bottom="0.75" header="0.3" footer="0.3"/>
  <pageSetup paperSize="9" orientation="portrait" r:id="rId93"/>
  <tableParts count="1">
    <tablePart r:id="rId9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7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7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7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7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52"/>
  <sheetViews>
    <sheetView topLeftCell="AF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85546875" bestFit="1" customWidth="1"/>
    <col min="4" max="4" width="54.7109375" customWidth="1"/>
    <col min="5" max="5" width="55.42578125" customWidth="1"/>
    <col min="6" max="6" width="27.28515625" customWidth="1"/>
    <col min="7" max="7" width="25.28515625" customWidth="1"/>
    <col min="8" max="8" width="13.5703125" customWidth="1"/>
    <col min="9" max="9" width="27.28515625" customWidth="1"/>
    <col min="10" max="10" width="13.5703125" customWidth="1"/>
    <col min="11" max="11" width="24.140625" customWidth="1"/>
    <col min="12" max="12" width="33.140625" customWidth="1"/>
    <col min="13" max="13" width="30.28515625" customWidth="1"/>
    <col min="14" max="14" width="40.28515625" bestFit="1" customWidth="1"/>
    <col min="15" max="15" width="12" bestFit="1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40.7109375" bestFit="1" customWidth="1"/>
    <col min="21" max="21" width="12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1.7109375" bestFit="1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9.85546875" bestFit="1" customWidth="1"/>
    <col min="33" max="33" width="13" customWidth="1"/>
    <col min="34" max="34" width="11.85546875" customWidth="1"/>
    <col min="35" max="35" width="79.5703125" customWidth="1"/>
  </cols>
  <sheetData>
    <row r="1" spans="1:40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40" x14ac:dyDescent="0.25">
      <c r="A2" s="1" t="s">
        <v>360</v>
      </c>
      <c r="B2" s="1"/>
      <c r="C2" s="1" t="s">
        <v>1363</v>
      </c>
      <c r="D2" s="1" t="s">
        <v>1546</v>
      </c>
      <c r="E2" s="1" t="s">
        <v>1547</v>
      </c>
      <c r="F2" s="1" t="s">
        <v>4864</v>
      </c>
      <c r="G2" s="1" t="s">
        <v>4875</v>
      </c>
      <c r="H2" s="1" t="s">
        <v>4869</v>
      </c>
      <c r="I2" s="1" t="s">
        <v>5072</v>
      </c>
      <c r="J2" s="1" t="s">
        <v>4896</v>
      </c>
      <c r="K2" s="1" t="s">
        <v>4928</v>
      </c>
      <c r="L2" s="1" t="s">
        <v>1483</v>
      </c>
      <c r="M2" s="1" t="s">
        <v>1483</v>
      </c>
      <c r="N2" s="1" t="s">
        <v>1483</v>
      </c>
      <c r="O2" s="1" t="s">
        <v>1483</v>
      </c>
      <c r="P2" s="9"/>
      <c r="Q2" s="1" t="s">
        <v>1548</v>
      </c>
      <c r="R2" s="1" t="s">
        <v>1549</v>
      </c>
      <c r="S2" s="1">
        <v>8119100146</v>
      </c>
      <c r="T2" s="11" t="s">
        <v>1550</v>
      </c>
      <c r="U2" s="1">
        <v>8119100146</v>
      </c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1" t="s">
        <v>1965</v>
      </c>
    </row>
    <row r="3" spans="1:40" x14ac:dyDescent="0.25">
      <c r="A3" s="1" t="s">
        <v>361</v>
      </c>
      <c r="B3" s="18" t="s">
        <v>3929</v>
      </c>
      <c r="C3" s="1" t="s">
        <v>1941</v>
      </c>
      <c r="D3" s="1" t="s">
        <v>1959</v>
      </c>
      <c r="E3" s="1" t="s">
        <v>1960</v>
      </c>
      <c r="F3" s="1" t="s">
        <v>4867</v>
      </c>
      <c r="G3" s="1" t="s">
        <v>4875</v>
      </c>
      <c r="H3" s="1" t="s">
        <v>4869</v>
      </c>
      <c r="I3" s="1" t="s">
        <v>5073</v>
      </c>
      <c r="J3" s="1" t="s">
        <v>4896</v>
      </c>
      <c r="K3" s="1" t="s">
        <v>4952</v>
      </c>
      <c r="L3" s="1" t="s">
        <v>1483</v>
      </c>
      <c r="M3" s="1" t="s">
        <v>1483</v>
      </c>
      <c r="N3" s="1" t="s">
        <v>1483</v>
      </c>
      <c r="O3" s="1" t="s">
        <v>1483</v>
      </c>
      <c r="P3" s="9"/>
      <c r="Q3" s="1" t="s">
        <v>1961</v>
      </c>
      <c r="R3" s="1" t="s">
        <v>1962</v>
      </c>
      <c r="S3" s="1">
        <v>8120290875</v>
      </c>
      <c r="T3" s="11" t="s">
        <v>1963</v>
      </c>
      <c r="U3" s="1">
        <v>8120290875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1964</v>
      </c>
    </row>
    <row r="4" spans="1:40" x14ac:dyDescent="0.25">
      <c r="A4" s="1" t="s">
        <v>362</v>
      </c>
      <c r="B4" s="1"/>
      <c r="C4" s="1" t="s">
        <v>2013</v>
      </c>
      <c r="D4" s="1" t="s">
        <v>2018</v>
      </c>
      <c r="E4" s="1" t="s">
        <v>2019</v>
      </c>
      <c r="F4" s="1" t="s">
        <v>4866</v>
      </c>
      <c r="G4" s="1" t="s">
        <v>4875</v>
      </c>
      <c r="H4" s="1" t="s">
        <v>4870</v>
      </c>
      <c r="I4" s="1" t="s">
        <v>4942</v>
      </c>
      <c r="J4" s="1" t="s">
        <v>4896</v>
      </c>
      <c r="K4" s="1" t="s">
        <v>4911</v>
      </c>
      <c r="L4" s="1" t="s">
        <v>1922</v>
      </c>
      <c r="M4" s="1">
        <v>8183891181</v>
      </c>
      <c r="N4" s="11" t="s">
        <v>2020</v>
      </c>
      <c r="O4" s="1">
        <v>8110458501</v>
      </c>
      <c r="P4" s="9"/>
      <c r="Q4" s="1" t="s">
        <v>2019</v>
      </c>
      <c r="R4" s="1" t="s">
        <v>1922</v>
      </c>
      <c r="S4" s="1">
        <v>8183891181</v>
      </c>
      <c r="T4" s="11" t="s">
        <v>2020</v>
      </c>
      <c r="U4" s="1">
        <v>8110458501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2021</v>
      </c>
    </row>
    <row r="5" spans="1:40" x14ac:dyDescent="0.25">
      <c r="A5" s="1" t="s">
        <v>363</v>
      </c>
      <c r="B5" s="18" t="s">
        <v>2867</v>
      </c>
      <c r="C5" s="1" t="s">
        <v>2175</v>
      </c>
      <c r="D5" s="1" t="s">
        <v>2197</v>
      </c>
      <c r="E5" s="1" t="s">
        <v>2198</v>
      </c>
      <c r="F5" s="37" t="s">
        <v>4863</v>
      </c>
      <c r="G5" s="37" t="s">
        <v>4874</v>
      </c>
      <c r="H5" s="37" t="s">
        <v>4869</v>
      </c>
      <c r="I5" s="15" t="s">
        <v>4933</v>
      </c>
      <c r="J5" s="37" t="s">
        <v>4896</v>
      </c>
      <c r="K5" s="15" t="s">
        <v>4911</v>
      </c>
      <c r="L5" s="1" t="s">
        <v>1511</v>
      </c>
      <c r="M5" s="1" t="s">
        <v>2199</v>
      </c>
      <c r="N5" s="11" t="s">
        <v>2200</v>
      </c>
      <c r="O5" s="1">
        <v>8125778480</v>
      </c>
      <c r="P5" s="9"/>
      <c r="Q5" s="1" t="s">
        <v>2198</v>
      </c>
      <c r="R5" s="1" t="s">
        <v>1511</v>
      </c>
      <c r="S5" s="1" t="s">
        <v>2199</v>
      </c>
      <c r="T5" s="11" t="s">
        <v>2200</v>
      </c>
      <c r="U5" s="1">
        <v>8125778480</v>
      </c>
      <c r="V5" s="9"/>
      <c r="W5" s="1" t="s">
        <v>2201</v>
      </c>
      <c r="X5" s="1" t="s">
        <v>2202</v>
      </c>
      <c r="Y5" s="1" t="s">
        <v>2203</v>
      </c>
      <c r="Z5" s="11" t="s">
        <v>2204</v>
      </c>
      <c r="AA5" s="1">
        <v>8110241693</v>
      </c>
      <c r="AB5" s="9"/>
      <c r="AC5" s="1"/>
      <c r="AD5" s="1"/>
      <c r="AE5" s="1"/>
      <c r="AF5" s="1"/>
      <c r="AG5" s="1"/>
      <c r="AI5" s="11" t="s">
        <v>2205</v>
      </c>
    </row>
    <row r="6" spans="1:40" x14ac:dyDescent="0.25">
      <c r="A6" s="1" t="s">
        <v>364</v>
      </c>
      <c r="B6" s="18" t="s">
        <v>2868</v>
      </c>
      <c r="C6" s="1" t="s">
        <v>2259</v>
      </c>
      <c r="D6" s="1" t="s">
        <v>2751</v>
      </c>
      <c r="E6" s="1" t="s">
        <v>2752</v>
      </c>
      <c r="F6" s="1" t="s">
        <v>4867</v>
      </c>
      <c r="G6" s="1" t="s">
        <v>4875</v>
      </c>
      <c r="H6" s="1" t="s">
        <v>4869</v>
      </c>
      <c r="I6" s="1" t="s">
        <v>5074</v>
      </c>
      <c r="J6" s="1" t="s">
        <v>4896</v>
      </c>
      <c r="K6" s="1" t="s">
        <v>4924</v>
      </c>
      <c r="L6" s="1" t="s">
        <v>2753</v>
      </c>
      <c r="M6" s="1">
        <v>8120219664</v>
      </c>
      <c r="N6" s="11" t="s">
        <v>2754</v>
      </c>
      <c r="O6" s="1">
        <v>8120219664</v>
      </c>
      <c r="P6" s="9"/>
      <c r="Q6" s="1" t="s">
        <v>2752</v>
      </c>
      <c r="R6" s="1" t="s">
        <v>2753</v>
      </c>
      <c r="S6" s="1">
        <v>8120219664</v>
      </c>
      <c r="T6" s="11" t="s">
        <v>2754</v>
      </c>
      <c r="U6" s="1">
        <v>8120219664</v>
      </c>
      <c r="V6" s="9"/>
      <c r="W6" s="1" t="s">
        <v>2755</v>
      </c>
      <c r="X6" s="1" t="s">
        <v>2756</v>
      </c>
      <c r="Y6" s="1">
        <v>811801566</v>
      </c>
      <c r="Z6" s="11" t="s">
        <v>2757</v>
      </c>
      <c r="AA6" s="1">
        <v>811801566</v>
      </c>
      <c r="AB6" s="9"/>
      <c r="AC6" s="1" t="s">
        <v>2758</v>
      </c>
      <c r="AD6" s="1" t="s">
        <v>2759</v>
      </c>
      <c r="AE6" s="1">
        <v>8115161790</v>
      </c>
      <c r="AF6" s="11" t="s">
        <v>2760</v>
      </c>
      <c r="AG6" s="1">
        <v>8115161790</v>
      </c>
      <c r="AI6" s="11" t="s">
        <v>2761</v>
      </c>
      <c r="AN6" s="18"/>
    </row>
    <row r="7" spans="1:40" x14ac:dyDescent="0.25">
      <c r="A7" s="1" t="s">
        <v>365</v>
      </c>
      <c r="B7" s="1"/>
      <c r="C7" s="1" t="s">
        <v>2171</v>
      </c>
      <c r="D7" s="1" t="s">
        <v>2762</v>
      </c>
      <c r="E7" s="1" t="s">
        <v>2763</v>
      </c>
      <c r="F7" s="1" t="s">
        <v>4863</v>
      </c>
      <c r="G7" s="1" t="s">
        <v>4873</v>
      </c>
      <c r="H7" s="1" t="s">
        <v>4869</v>
      </c>
      <c r="I7" s="1" t="s">
        <v>5075</v>
      </c>
      <c r="J7" s="1" t="s">
        <v>4896</v>
      </c>
      <c r="K7" s="1" t="s">
        <v>4911</v>
      </c>
      <c r="L7" s="1" t="s">
        <v>1483</v>
      </c>
      <c r="M7" s="1" t="s">
        <v>1483</v>
      </c>
      <c r="N7" s="1" t="s">
        <v>1483</v>
      </c>
      <c r="O7" s="1" t="s">
        <v>1483</v>
      </c>
      <c r="P7" s="9"/>
      <c r="Q7" s="1" t="s">
        <v>2764</v>
      </c>
      <c r="R7" s="1" t="s">
        <v>1499</v>
      </c>
      <c r="S7" s="1">
        <v>8183769044</v>
      </c>
      <c r="T7" s="11" t="s">
        <v>2765</v>
      </c>
      <c r="U7" s="1">
        <v>8134026008</v>
      </c>
      <c r="V7" s="9"/>
      <c r="W7" s="1" t="s">
        <v>2766</v>
      </c>
      <c r="X7" s="1" t="s">
        <v>2767</v>
      </c>
      <c r="Y7" s="1">
        <v>8183489393</v>
      </c>
      <c r="Z7" s="11" t="s">
        <v>2768</v>
      </c>
      <c r="AA7" s="1">
        <v>8134026008</v>
      </c>
      <c r="AB7" s="9"/>
      <c r="AC7" s="1"/>
      <c r="AD7" s="1"/>
      <c r="AE7" s="1"/>
      <c r="AF7" s="1"/>
      <c r="AG7" s="1"/>
      <c r="AI7" s="11" t="s">
        <v>3547</v>
      </c>
    </row>
    <row r="8" spans="1:40" x14ac:dyDescent="0.25">
      <c r="A8" s="1" t="s">
        <v>366</v>
      </c>
      <c r="B8" s="1"/>
      <c r="C8" s="1" t="s">
        <v>3080</v>
      </c>
      <c r="D8" s="1" t="s">
        <v>3081</v>
      </c>
      <c r="E8" s="1" t="s">
        <v>3082</v>
      </c>
      <c r="F8" s="1" t="s">
        <v>4864</v>
      </c>
      <c r="G8" s="1" t="s">
        <v>4875</v>
      </c>
      <c r="H8" s="1" t="s">
        <v>4869</v>
      </c>
      <c r="I8" s="1" t="s">
        <v>5072</v>
      </c>
      <c r="J8" s="1" t="s">
        <v>4896</v>
      </c>
      <c r="K8" s="1" t="s">
        <v>4911</v>
      </c>
      <c r="L8" s="1" t="s">
        <v>1483</v>
      </c>
      <c r="M8" s="1" t="s">
        <v>1483</v>
      </c>
      <c r="N8" s="1" t="s">
        <v>1483</v>
      </c>
      <c r="O8" s="1" t="s">
        <v>1483</v>
      </c>
      <c r="P8" s="9"/>
      <c r="Q8" s="1" t="s">
        <v>3083</v>
      </c>
      <c r="R8" s="1" t="s">
        <v>3084</v>
      </c>
      <c r="S8" s="1">
        <v>8122013188</v>
      </c>
      <c r="T8" s="11" t="s">
        <v>3085</v>
      </c>
      <c r="U8" s="1">
        <v>8122013188</v>
      </c>
      <c r="V8" s="9"/>
      <c r="W8" s="1" t="s">
        <v>3086</v>
      </c>
      <c r="X8" s="1" t="s">
        <v>3087</v>
      </c>
      <c r="Y8" s="1">
        <v>8122013188</v>
      </c>
      <c r="Z8" s="11" t="s">
        <v>3088</v>
      </c>
      <c r="AA8" s="1">
        <v>8122013188</v>
      </c>
      <c r="AB8" s="9"/>
      <c r="AC8" s="1" t="s">
        <v>3089</v>
      </c>
      <c r="AD8" s="1" t="s">
        <v>3090</v>
      </c>
      <c r="AE8" s="1">
        <v>8119100146</v>
      </c>
      <c r="AF8" s="11" t="s">
        <v>1550</v>
      </c>
      <c r="AG8" s="1">
        <v>8119100146</v>
      </c>
      <c r="AI8" s="11" t="s">
        <v>3091</v>
      </c>
    </row>
    <row r="9" spans="1:40" x14ac:dyDescent="0.25">
      <c r="A9" s="1" t="s">
        <v>367</v>
      </c>
      <c r="B9" s="18" t="s">
        <v>3928</v>
      </c>
      <c r="C9" s="1" t="s">
        <v>2283</v>
      </c>
      <c r="D9" s="1" t="s">
        <v>3092</v>
      </c>
      <c r="E9" s="1" t="s">
        <v>3093</v>
      </c>
      <c r="F9" s="1" t="s">
        <v>4864</v>
      </c>
      <c r="G9" s="1" t="s">
        <v>4875</v>
      </c>
      <c r="H9" s="1" t="s">
        <v>4869</v>
      </c>
      <c r="I9" s="1" t="s">
        <v>4940</v>
      </c>
      <c r="J9" s="37" t="s">
        <v>4896</v>
      </c>
      <c r="K9" s="1" t="s">
        <v>4941</v>
      </c>
      <c r="L9" s="1" t="s">
        <v>1483</v>
      </c>
      <c r="M9" s="1" t="s">
        <v>1483</v>
      </c>
      <c r="N9" s="1" t="s">
        <v>1483</v>
      </c>
      <c r="O9" s="1" t="s">
        <v>1483</v>
      </c>
      <c r="P9" s="9"/>
      <c r="Q9" s="1" t="s">
        <v>3094</v>
      </c>
      <c r="R9" s="1" t="s">
        <v>3095</v>
      </c>
      <c r="S9" s="1">
        <v>8183186400</v>
      </c>
      <c r="T9" s="11" t="s">
        <v>3096</v>
      </c>
      <c r="U9" s="1">
        <v>8123204281</v>
      </c>
      <c r="V9" s="9"/>
      <c r="W9" s="1" t="s">
        <v>3093</v>
      </c>
      <c r="X9" s="1" t="s">
        <v>3097</v>
      </c>
      <c r="Y9" s="1">
        <v>8126677808</v>
      </c>
      <c r="Z9" s="11" t="s">
        <v>3098</v>
      </c>
      <c r="AA9" s="1">
        <v>5543658814</v>
      </c>
      <c r="AB9" s="9"/>
      <c r="AC9" s="1" t="s">
        <v>3099</v>
      </c>
      <c r="AD9" s="1" t="s">
        <v>3100</v>
      </c>
      <c r="AE9" s="1">
        <v>8123474803</v>
      </c>
      <c r="AF9" s="11" t="s">
        <v>3101</v>
      </c>
      <c r="AG9" s="1">
        <v>5543658814</v>
      </c>
      <c r="AI9" s="11" t="s">
        <v>3102</v>
      </c>
    </row>
    <row r="10" spans="1:40" x14ac:dyDescent="0.25">
      <c r="A10" s="1" t="s">
        <v>368</v>
      </c>
      <c r="B10" s="1"/>
      <c r="C10" s="1" t="s">
        <v>3502</v>
      </c>
      <c r="D10" s="1" t="s">
        <v>3539</v>
      </c>
      <c r="E10" s="1" t="s">
        <v>3540</v>
      </c>
      <c r="F10" s="1" t="s">
        <v>4864</v>
      </c>
      <c r="G10" s="1" t="s">
        <v>4875</v>
      </c>
      <c r="H10" s="1" t="s">
        <v>4869</v>
      </c>
      <c r="I10" s="1" t="s">
        <v>5066</v>
      </c>
      <c r="J10" s="1" t="s">
        <v>4896</v>
      </c>
      <c r="K10" s="1" t="s">
        <v>4924</v>
      </c>
      <c r="L10" s="1" t="s">
        <v>1427</v>
      </c>
      <c r="M10" s="1" t="s">
        <v>1483</v>
      </c>
      <c r="N10" s="11" t="s">
        <v>3542</v>
      </c>
      <c r="O10" s="1">
        <v>8181613635</v>
      </c>
      <c r="P10" s="9"/>
      <c r="Q10" s="1" t="s">
        <v>3543</v>
      </c>
      <c r="R10" s="1" t="s">
        <v>3541</v>
      </c>
      <c r="S10" s="1" t="s">
        <v>1483</v>
      </c>
      <c r="T10" s="11" t="s">
        <v>3544</v>
      </c>
      <c r="U10" s="1">
        <v>8123190541</v>
      </c>
      <c r="V10" s="9"/>
      <c r="W10" s="1" t="s">
        <v>3540</v>
      </c>
      <c r="X10" s="1" t="s">
        <v>3541</v>
      </c>
      <c r="Y10" s="1" t="s">
        <v>1483</v>
      </c>
      <c r="Z10" s="11" t="s">
        <v>3545</v>
      </c>
      <c r="AA10" s="1">
        <v>8181613635</v>
      </c>
      <c r="AB10" s="9"/>
      <c r="AC10" s="1"/>
      <c r="AD10" s="1"/>
      <c r="AE10" s="1"/>
      <c r="AF10" s="1"/>
      <c r="AG10" s="1"/>
      <c r="AI10" s="11" t="s">
        <v>3546</v>
      </c>
    </row>
    <row r="11" spans="1:40" x14ac:dyDescent="0.25">
      <c r="A11" s="1" t="s">
        <v>369</v>
      </c>
      <c r="B11" s="18" t="s">
        <v>4010</v>
      </c>
      <c r="C11" s="1" t="s">
        <v>3171</v>
      </c>
      <c r="D11" s="1" t="s">
        <v>3834</v>
      </c>
      <c r="E11" s="1" t="s">
        <v>3835</v>
      </c>
      <c r="F11" s="1" t="s">
        <v>4864</v>
      </c>
      <c r="G11" s="1" t="s">
        <v>4875</v>
      </c>
      <c r="H11" s="1" t="s">
        <v>4869</v>
      </c>
      <c r="I11" s="1" t="s">
        <v>5076</v>
      </c>
      <c r="J11" s="1" t="s">
        <v>4896</v>
      </c>
      <c r="K11" s="1" t="s">
        <v>4911</v>
      </c>
      <c r="L11" s="1" t="s">
        <v>3836</v>
      </c>
      <c r="M11" s="1">
        <v>8122013992</v>
      </c>
      <c r="N11" s="11" t="s">
        <v>3837</v>
      </c>
      <c r="O11" s="1">
        <v>8122013992</v>
      </c>
      <c r="P11" s="9"/>
      <c r="Q11" s="1" t="s">
        <v>3835</v>
      </c>
      <c r="R11" s="1" t="s">
        <v>3836</v>
      </c>
      <c r="S11" s="1">
        <v>8122013992</v>
      </c>
      <c r="T11" s="11" t="s">
        <v>3837</v>
      </c>
      <c r="U11" s="1">
        <v>8122013992</v>
      </c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1" t="s">
        <v>3838</v>
      </c>
    </row>
    <row r="12" spans="1:40" x14ac:dyDescent="0.25">
      <c r="A12" s="1" t="s">
        <v>370</v>
      </c>
      <c r="B12" s="1"/>
      <c r="C12" s="1" t="s">
        <v>3880</v>
      </c>
      <c r="D12" s="1" t="s">
        <v>3881</v>
      </c>
      <c r="E12" s="1" t="s">
        <v>3882</v>
      </c>
      <c r="F12" s="1" t="s">
        <v>4864</v>
      </c>
      <c r="G12" s="1" t="s">
        <v>4875</v>
      </c>
      <c r="H12" s="1" t="s">
        <v>4869</v>
      </c>
      <c r="I12" s="1" t="s">
        <v>5077</v>
      </c>
      <c r="J12" s="1" t="s">
        <v>4896</v>
      </c>
      <c r="K12" s="1" t="s">
        <v>4911</v>
      </c>
      <c r="L12" s="1" t="s">
        <v>3883</v>
      </c>
      <c r="M12" s="1">
        <v>8183896000</v>
      </c>
      <c r="N12" s="11" t="s">
        <v>3884</v>
      </c>
      <c r="O12" s="1">
        <v>8335325630</v>
      </c>
      <c r="P12" s="9"/>
      <c r="Q12" s="1" t="s">
        <v>3882</v>
      </c>
      <c r="R12" s="1" t="s">
        <v>3883</v>
      </c>
      <c r="S12" s="1">
        <v>8183896000</v>
      </c>
      <c r="T12" s="11" t="s">
        <v>3884</v>
      </c>
      <c r="U12" s="1">
        <v>8335325630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3885</v>
      </c>
    </row>
    <row r="13" spans="1:40" x14ac:dyDescent="0.25">
      <c r="A13" s="1" t="s">
        <v>371</v>
      </c>
      <c r="B13" s="1" t="s">
        <v>4152</v>
      </c>
      <c r="C13" s="1" t="s">
        <v>4073</v>
      </c>
      <c r="D13" s="1" t="s">
        <v>4151</v>
      </c>
      <c r="E13" s="1" t="s">
        <v>4153</v>
      </c>
      <c r="F13" s="1" t="s">
        <v>4865</v>
      </c>
      <c r="G13" s="1" t="s">
        <v>4874</v>
      </c>
      <c r="H13" s="1" t="s">
        <v>4869</v>
      </c>
      <c r="I13" s="1" t="s">
        <v>5078</v>
      </c>
      <c r="J13" s="1" t="s">
        <v>4896</v>
      </c>
      <c r="K13" s="1" t="s">
        <v>4924</v>
      </c>
      <c r="L13" s="1" t="s">
        <v>3473</v>
      </c>
      <c r="M13" s="1">
        <v>8124620119</v>
      </c>
      <c r="N13" s="11" t="s">
        <v>4154</v>
      </c>
      <c r="O13" s="1">
        <v>8183667958</v>
      </c>
      <c r="P13" s="9"/>
      <c r="Q13" s="1" t="s">
        <v>4155</v>
      </c>
      <c r="R13" s="1" t="s">
        <v>3648</v>
      </c>
      <c r="S13" s="1">
        <v>8124620119</v>
      </c>
      <c r="T13" s="11" t="s">
        <v>4156</v>
      </c>
      <c r="U13" s="1">
        <v>8182872283</v>
      </c>
      <c r="V13" s="9"/>
      <c r="W13" s="1" t="s">
        <v>4153</v>
      </c>
      <c r="X13" s="1" t="s">
        <v>3648</v>
      </c>
      <c r="Y13" s="1">
        <v>8124620119</v>
      </c>
      <c r="Z13" s="11" t="s">
        <v>4154</v>
      </c>
      <c r="AA13" s="1">
        <v>8183667958</v>
      </c>
      <c r="AB13" s="9"/>
      <c r="AC13" s="1"/>
      <c r="AD13" s="1"/>
      <c r="AE13" s="1"/>
      <c r="AF13" s="1"/>
      <c r="AG13" s="1"/>
      <c r="AI13" s="11" t="s">
        <v>4157</v>
      </c>
    </row>
    <row r="14" spans="1:40" x14ac:dyDescent="0.25">
      <c r="A14" s="1" t="s">
        <v>372</v>
      </c>
      <c r="B14" s="18" t="s">
        <v>4309</v>
      </c>
      <c r="C14" s="1" t="s">
        <v>4192</v>
      </c>
      <c r="D14" s="1" t="s">
        <v>4305</v>
      </c>
      <c r="E14" s="1" t="s">
        <v>4306</v>
      </c>
      <c r="F14" s="1" t="s">
        <v>4863</v>
      </c>
      <c r="G14" s="1" t="s">
        <v>4873</v>
      </c>
      <c r="H14" s="1" t="s">
        <v>4869</v>
      </c>
      <c r="I14" s="1" t="s">
        <v>5075</v>
      </c>
      <c r="J14" s="1" t="s">
        <v>4896</v>
      </c>
      <c r="K14" s="1" t="s">
        <v>4911</v>
      </c>
      <c r="L14" s="1" t="s">
        <v>4307</v>
      </c>
      <c r="M14" s="1">
        <v>8117643714</v>
      </c>
      <c r="N14" s="11" t="s">
        <v>4308</v>
      </c>
      <c r="O14" s="1">
        <v>8117643714</v>
      </c>
      <c r="P14" s="9"/>
      <c r="Q14" s="1" t="s">
        <v>4306</v>
      </c>
      <c r="R14" s="1" t="s">
        <v>4307</v>
      </c>
      <c r="S14" s="1">
        <v>8117643714</v>
      </c>
      <c r="T14" s="11" t="s">
        <v>4308</v>
      </c>
      <c r="U14" s="1">
        <v>8117643714</v>
      </c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1" t="s">
        <v>4598</v>
      </c>
    </row>
    <row r="15" spans="1:40" x14ac:dyDescent="0.25">
      <c r="A15" s="1" t="s">
        <v>373</v>
      </c>
      <c r="B15" s="18" t="s">
        <v>4667</v>
      </c>
      <c r="C15" s="1" t="s">
        <v>4490</v>
      </c>
      <c r="D15" s="1" t="s">
        <v>4593</v>
      </c>
      <c r="E15" s="1" t="s">
        <v>4594</v>
      </c>
      <c r="F15" s="1" t="s">
        <v>4866</v>
      </c>
      <c r="G15" s="1" t="s">
        <v>4875</v>
      </c>
      <c r="H15" s="1" t="s">
        <v>4868</v>
      </c>
      <c r="I15" s="1" t="s">
        <v>5079</v>
      </c>
      <c r="J15" s="1" t="s">
        <v>4896</v>
      </c>
      <c r="K15" s="1" t="s">
        <v>4911</v>
      </c>
      <c r="L15" s="1" t="s">
        <v>4595</v>
      </c>
      <c r="M15" s="1">
        <v>8114742942</v>
      </c>
      <c r="N15" s="11" t="s">
        <v>4596</v>
      </c>
      <c r="O15" s="1">
        <v>8114742942</v>
      </c>
      <c r="P15" s="9"/>
      <c r="Q15" s="1" t="s">
        <v>4594</v>
      </c>
      <c r="R15" s="1" t="s">
        <v>4595</v>
      </c>
      <c r="S15" s="1">
        <v>8114742942</v>
      </c>
      <c r="T15" s="11" t="s">
        <v>4596</v>
      </c>
      <c r="U15" s="1">
        <v>8114742942</v>
      </c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1" t="s">
        <v>4597</v>
      </c>
    </row>
    <row r="16" spans="1:40" x14ac:dyDescent="0.25">
      <c r="A16" s="1" t="s">
        <v>374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375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376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377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378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379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380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381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382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383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384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385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386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387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388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389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390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391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392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393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394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395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396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397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398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399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400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401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402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403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404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405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406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407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408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409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SUBTOTAL(103,Tabla11[ARCHIVO])</f>
        <v>14</v>
      </c>
    </row>
  </sheetData>
  <hyperlinks>
    <hyperlink ref="T2" r:id="rId1" xr:uid="{00000000-0004-0000-0800-000000000000}"/>
    <hyperlink ref="T3" r:id="rId2" xr:uid="{00000000-0004-0000-0800-000001000000}"/>
    <hyperlink ref="AI3" r:id="rId3" xr:uid="{00000000-0004-0000-0800-000002000000}"/>
    <hyperlink ref="AI2" r:id="rId4" xr:uid="{00000000-0004-0000-0800-000003000000}"/>
    <hyperlink ref="N4" r:id="rId5" xr:uid="{00000000-0004-0000-0800-000004000000}"/>
    <hyperlink ref="T4" r:id="rId6" xr:uid="{00000000-0004-0000-0800-000005000000}"/>
    <hyperlink ref="AI4" r:id="rId7" xr:uid="{00000000-0004-0000-0800-000006000000}"/>
    <hyperlink ref="N5" r:id="rId8" xr:uid="{00000000-0004-0000-0800-000007000000}"/>
    <hyperlink ref="T5" r:id="rId9" xr:uid="{00000000-0004-0000-0800-000008000000}"/>
    <hyperlink ref="Z5" r:id="rId10" xr:uid="{00000000-0004-0000-0800-000009000000}"/>
    <hyperlink ref="AI5" r:id="rId11" xr:uid="{00000000-0004-0000-0800-00000A000000}"/>
    <hyperlink ref="N6" r:id="rId12" xr:uid="{00000000-0004-0000-0800-00000B000000}"/>
    <hyperlink ref="T6" r:id="rId13" xr:uid="{00000000-0004-0000-0800-00000C000000}"/>
    <hyperlink ref="Z6" r:id="rId14" xr:uid="{00000000-0004-0000-0800-00000D000000}"/>
    <hyperlink ref="AF6" r:id="rId15" xr:uid="{00000000-0004-0000-0800-00000E000000}"/>
    <hyperlink ref="AI6" r:id="rId16" xr:uid="{00000000-0004-0000-0800-00000F000000}"/>
    <hyperlink ref="T7" r:id="rId17" xr:uid="{00000000-0004-0000-0800-000010000000}"/>
    <hyperlink ref="Z7" r:id="rId18" xr:uid="{00000000-0004-0000-0800-000011000000}"/>
    <hyperlink ref="T8" r:id="rId19" xr:uid="{00000000-0004-0000-0800-000012000000}"/>
    <hyperlink ref="Z8" r:id="rId20" xr:uid="{00000000-0004-0000-0800-000013000000}"/>
    <hyperlink ref="AF8" r:id="rId21" xr:uid="{00000000-0004-0000-0800-000014000000}"/>
    <hyperlink ref="AI8" r:id="rId22" xr:uid="{00000000-0004-0000-0800-000015000000}"/>
    <hyperlink ref="T9" r:id="rId23" xr:uid="{00000000-0004-0000-0800-000016000000}"/>
    <hyperlink ref="Z9" r:id="rId24" xr:uid="{00000000-0004-0000-0800-000017000000}"/>
    <hyperlink ref="AF9" r:id="rId25" xr:uid="{00000000-0004-0000-0800-000018000000}"/>
    <hyperlink ref="AI9" r:id="rId26" xr:uid="{00000000-0004-0000-0800-000019000000}"/>
    <hyperlink ref="N10" r:id="rId27" xr:uid="{00000000-0004-0000-0800-00001A000000}"/>
    <hyperlink ref="T10" r:id="rId28" xr:uid="{00000000-0004-0000-0800-00001B000000}"/>
    <hyperlink ref="Z10" r:id="rId29" xr:uid="{00000000-0004-0000-0800-00001C000000}"/>
    <hyperlink ref="AI10" r:id="rId30" xr:uid="{00000000-0004-0000-0800-00001D000000}"/>
    <hyperlink ref="AI7" r:id="rId31" xr:uid="{00000000-0004-0000-0800-00001E000000}"/>
    <hyperlink ref="N11" r:id="rId32" xr:uid="{00000000-0004-0000-0800-00001F000000}"/>
    <hyperlink ref="T11" r:id="rId33" xr:uid="{00000000-0004-0000-0800-000020000000}"/>
    <hyperlink ref="AI11" r:id="rId34" xr:uid="{00000000-0004-0000-0800-000021000000}"/>
    <hyperlink ref="N12" r:id="rId35" xr:uid="{00000000-0004-0000-0800-000022000000}"/>
    <hyperlink ref="T12" r:id="rId36" xr:uid="{00000000-0004-0000-0800-000023000000}"/>
    <hyperlink ref="AI12" r:id="rId37" xr:uid="{00000000-0004-0000-0800-000024000000}"/>
    <hyperlink ref="N13" r:id="rId38" xr:uid="{00000000-0004-0000-0800-000025000000}"/>
    <hyperlink ref="Z13" r:id="rId39" xr:uid="{00000000-0004-0000-0800-000026000000}"/>
    <hyperlink ref="T13" r:id="rId40" xr:uid="{00000000-0004-0000-0800-000027000000}"/>
    <hyperlink ref="AI13" r:id="rId41" xr:uid="{00000000-0004-0000-0800-000028000000}"/>
    <hyperlink ref="N14" r:id="rId42" xr:uid="{00000000-0004-0000-0800-000029000000}"/>
    <hyperlink ref="T14" r:id="rId43" xr:uid="{00000000-0004-0000-0800-00002A000000}"/>
    <hyperlink ref="N15" r:id="rId44" xr:uid="{00000000-0004-0000-0800-00002B000000}"/>
    <hyperlink ref="T15" r:id="rId45" xr:uid="{00000000-0004-0000-0800-00002C000000}"/>
    <hyperlink ref="AI15" r:id="rId46" xr:uid="{00000000-0004-0000-0800-00002D000000}"/>
    <hyperlink ref="AI14" r:id="rId47" xr:uid="{00000000-0004-0000-0800-00002E000000}"/>
  </hyperlinks>
  <pageMargins left="0.7" right="0.7" top="0.75" bottom="0.75" header="0.3" footer="0.3"/>
  <pageSetup paperSize="9" orientation="portrait" r:id="rId48"/>
  <tableParts count="1">
    <tablePart r:id="rId49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8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8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8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8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52"/>
  <sheetViews>
    <sheetView topLeftCell="A2" zoomScale="90" zoomScaleNormal="90" workbookViewId="0">
      <selection activeCell="D21" sqref="D21"/>
    </sheetView>
  </sheetViews>
  <sheetFormatPr baseColWidth="10" defaultRowHeight="15" x14ac:dyDescent="0.25"/>
  <cols>
    <col min="1" max="1" width="7" customWidth="1"/>
    <col min="2" max="2" width="16.140625" customWidth="1"/>
    <col min="3" max="3" width="23.42578125" bestFit="1" customWidth="1"/>
    <col min="4" max="4" width="37.42578125" bestFit="1" customWidth="1"/>
    <col min="5" max="5" width="55.42578125" customWidth="1"/>
    <col min="6" max="6" width="28" customWidth="1"/>
    <col min="7" max="7" width="25.28515625" customWidth="1"/>
    <col min="8" max="8" width="13.5703125" customWidth="1"/>
    <col min="9" max="9" width="20.85546875" customWidth="1"/>
    <col min="10" max="10" width="13.5703125" customWidth="1"/>
    <col min="11" max="11" width="19.42578125" customWidth="1"/>
    <col min="12" max="12" width="38.5703125" bestFit="1" customWidth="1"/>
    <col min="13" max="13" width="30.28515625" customWidth="1"/>
    <col min="14" max="14" width="38.5703125" bestFit="1" customWidth="1"/>
    <col min="15" max="15" width="12" bestFit="1" customWidth="1"/>
    <col min="16" max="16" width="11" customWidth="1"/>
    <col min="17" max="17" width="43.42578125" customWidth="1"/>
    <col min="18" max="18" width="38.5703125" bestFit="1" customWidth="1"/>
    <col min="19" max="19" width="31.28515625" customWidth="1"/>
    <col min="20" max="20" width="36" bestFit="1" customWidth="1"/>
    <col min="21" max="21" width="12" bestFit="1" customWidth="1"/>
    <col min="22" max="22" width="11" customWidth="1"/>
    <col min="23" max="23" width="44.42578125" customWidth="1"/>
    <col min="24" max="24" width="36.5703125" bestFit="1" customWidth="1"/>
    <col min="25" max="25" width="31.28515625" customWidth="1"/>
    <col min="26" max="26" width="38.5703125" bestFit="1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38.7109375" bestFit="1" customWidth="1"/>
    <col min="33" max="33" width="13" customWidth="1"/>
    <col min="34" max="34" width="11.85546875" customWidth="1"/>
    <col min="35" max="35" width="77.14062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410</v>
      </c>
      <c r="B2" s="1"/>
      <c r="C2" s="1" t="s">
        <v>1551</v>
      </c>
      <c r="D2" s="1" t="s">
        <v>2778</v>
      </c>
      <c r="E2" s="1" t="s">
        <v>1552</v>
      </c>
      <c r="F2" s="1" t="s">
        <v>4865</v>
      </c>
      <c r="G2" s="1" t="s">
        <v>4875</v>
      </c>
      <c r="H2" s="1" t="s">
        <v>4868</v>
      </c>
      <c r="I2" s="1" t="s">
        <v>5080</v>
      </c>
      <c r="J2" s="1" t="s">
        <v>4896</v>
      </c>
      <c r="K2" s="1" t="s">
        <v>4911</v>
      </c>
      <c r="L2" s="1" t="s">
        <v>1553</v>
      </c>
      <c r="M2" s="1" t="s">
        <v>1554</v>
      </c>
      <c r="N2" s="11" t="s">
        <v>1555</v>
      </c>
      <c r="O2" s="1">
        <v>8993158086</v>
      </c>
      <c r="P2" s="9"/>
      <c r="Q2" s="1" t="s">
        <v>1556</v>
      </c>
      <c r="R2" s="1" t="s">
        <v>1557</v>
      </c>
      <c r="S2" s="1" t="s">
        <v>1558</v>
      </c>
      <c r="T2" s="11" t="s">
        <v>1559</v>
      </c>
      <c r="U2" s="1">
        <v>81138034810</v>
      </c>
      <c r="V2" s="9"/>
      <c r="W2" s="1" t="s">
        <v>1560</v>
      </c>
      <c r="X2" s="1" t="s">
        <v>1561</v>
      </c>
      <c r="Y2" s="1" t="s">
        <v>1562</v>
      </c>
      <c r="Z2" s="11" t="s">
        <v>1563</v>
      </c>
      <c r="AA2" s="1">
        <v>8113834810</v>
      </c>
      <c r="AB2" s="9"/>
      <c r="AC2" s="1" t="s">
        <v>1552</v>
      </c>
      <c r="AD2" s="1" t="s">
        <v>1553</v>
      </c>
      <c r="AE2" s="1" t="s">
        <v>1554</v>
      </c>
      <c r="AF2" s="11" t="s">
        <v>1555</v>
      </c>
      <c r="AG2" s="1">
        <v>8993158086</v>
      </c>
      <c r="AI2" s="11" t="s">
        <v>1564</v>
      </c>
    </row>
    <row r="3" spans="1:35" x14ac:dyDescent="0.25">
      <c r="A3" s="1" t="s">
        <v>411</v>
      </c>
      <c r="B3" s="18" t="s">
        <v>3989</v>
      </c>
      <c r="C3" s="1" t="s">
        <v>1839</v>
      </c>
      <c r="D3" s="1" t="s">
        <v>2777</v>
      </c>
      <c r="E3" s="1" t="s">
        <v>1966</v>
      </c>
      <c r="F3" s="1" t="s">
        <v>4864</v>
      </c>
      <c r="G3" s="1" t="s">
        <v>4875</v>
      </c>
      <c r="H3" s="1" t="s">
        <v>4868</v>
      </c>
      <c r="I3" s="1" t="s">
        <v>4942</v>
      </c>
      <c r="J3" s="1" t="s">
        <v>4896</v>
      </c>
      <c r="K3" s="1" t="s">
        <v>4924</v>
      </c>
      <c r="L3" s="1" t="s">
        <v>1967</v>
      </c>
      <c r="M3" s="1" t="s">
        <v>1483</v>
      </c>
      <c r="N3" s="11" t="s">
        <v>1968</v>
      </c>
      <c r="O3" s="1" t="s">
        <v>1483</v>
      </c>
      <c r="P3" s="9"/>
      <c r="Q3" s="1" t="s">
        <v>1966</v>
      </c>
      <c r="R3" s="1" t="s">
        <v>1967</v>
      </c>
      <c r="S3" s="1" t="s">
        <v>1483</v>
      </c>
      <c r="T3" s="11" t="s">
        <v>1968</v>
      </c>
      <c r="U3" s="1" t="s">
        <v>1483</v>
      </c>
      <c r="V3" s="9"/>
      <c r="W3" s="1" t="s">
        <v>1969</v>
      </c>
      <c r="X3" s="1" t="s">
        <v>1970</v>
      </c>
      <c r="Y3" s="1">
        <v>8119158651</v>
      </c>
      <c r="Z3" s="11" t="s">
        <v>1971</v>
      </c>
      <c r="AA3" s="1">
        <v>8119241212</v>
      </c>
      <c r="AB3" s="9"/>
      <c r="AC3" s="1" t="s">
        <v>1972</v>
      </c>
      <c r="AD3" s="1" t="s">
        <v>1973</v>
      </c>
      <c r="AE3" s="1" t="s">
        <v>1483</v>
      </c>
      <c r="AF3" s="11" t="s">
        <v>1974</v>
      </c>
      <c r="AG3" s="1" t="s">
        <v>1483</v>
      </c>
      <c r="AI3" s="11" t="s">
        <v>1975</v>
      </c>
    </row>
    <row r="4" spans="1:35" x14ac:dyDescent="0.25">
      <c r="A4" s="1" t="s">
        <v>412</v>
      </c>
      <c r="B4" s="18" t="s">
        <v>2869</v>
      </c>
      <c r="C4" s="1" t="s">
        <v>1941</v>
      </c>
      <c r="D4" s="1" t="s">
        <v>1976</v>
      </c>
      <c r="E4" s="1" t="s">
        <v>1977</v>
      </c>
      <c r="F4" s="1" t="s">
        <v>4864</v>
      </c>
      <c r="G4" s="1" t="s">
        <v>4874</v>
      </c>
      <c r="H4" s="1" t="s">
        <v>4869</v>
      </c>
      <c r="I4" s="1" t="s">
        <v>4920</v>
      </c>
      <c r="J4" s="1" t="s">
        <v>4896</v>
      </c>
      <c r="K4" s="1" t="s">
        <v>4924</v>
      </c>
      <c r="L4" s="1" t="s">
        <v>1978</v>
      </c>
      <c r="M4" s="1">
        <v>8123808816</v>
      </c>
      <c r="N4" s="11" t="s">
        <v>1979</v>
      </c>
      <c r="O4" s="1">
        <v>8123808816</v>
      </c>
      <c r="P4" s="9"/>
      <c r="Q4" s="1" t="s">
        <v>1977</v>
      </c>
      <c r="R4" s="1" t="s">
        <v>1978</v>
      </c>
      <c r="S4" s="1">
        <v>8123808816</v>
      </c>
      <c r="T4" s="11" t="s">
        <v>1979</v>
      </c>
      <c r="U4" s="1">
        <v>8123808816</v>
      </c>
      <c r="V4" s="9"/>
      <c r="W4" s="1" t="s">
        <v>1980</v>
      </c>
      <c r="X4" s="1" t="s">
        <v>1981</v>
      </c>
      <c r="Y4" s="1">
        <v>8123522667</v>
      </c>
      <c r="Z4" s="11" t="s">
        <v>1982</v>
      </c>
      <c r="AA4" s="1">
        <v>8123522667</v>
      </c>
      <c r="AB4" s="9"/>
      <c r="AC4" s="1" t="s">
        <v>1983</v>
      </c>
      <c r="AD4" s="1" t="s">
        <v>1984</v>
      </c>
      <c r="AE4" s="1">
        <v>8110095745</v>
      </c>
      <c r="AF4" s="11" t="s">
        <v>1985</v>
      </c>
      <c r="AG4" s="1">
        <v>8110095745</v>
      </c>
      <c r="AI4" s="11" t="s">
        <v>1986</v>
      </c>
    </row>
    <row r="5" spans="1:35" x14ac:dyDescent="0.25">
      <c r="A5" s="1" t="s">
        <v>413</v>
      </c>
      <c r="B5" s="18" t="s">
        <v>2870</v>
      </c>
      <c r="C5" s="1" t="s">
        <v>2022</v>
      </c>
      <c r="D5" s="1" t="s">
        <v>2776</v>
      </c>
      <c r="E5" s="1" t="s">
        <v>2023</v>
      </c>
      <c r="F5" s="13" t="s">
        <v>4863</v>
      </c>
      <c r="G5" s="1" t="s">
        <v>4875</v>
      </c>
      <c r="H5" s="13" t="s">
        <v>4869</v>
      </c>
      <c r="I5" s="13" t="s">
        <v>4916</v>
      </c>
      <c r="J5" s="1" t="s">
        <v>4896</v>
      </c>
      <c r="K5" s="13" t="s">
        <v>4911</v>
      </c>
      <c r="L5" s="1" t="s">
        <v>2024</v>
      </c>
      <c r="M5" s="1" t="s">
        <v>2026</v>
      </c>
      <c r="N5" s="11" t="s">
        <v>2025</v>
      </c>
      <c r="O5" s="1" t="s">
        <v>1483</v>
      </c>
      <c r="P5" s="9"/>
      <c r="Q5" s="1" t="s">
        <v>2027</v>
      </c>
      <c r="R5" s="1" t="s">
        <v>2028</v>
      </c>
      <c r="S5" s="1" t="s">
        <v>2029</v>
      </c>
      <c r="T5" s="11" t="s">
        <v>2030</v>
      </c>
      <c r="U5" s="1" t="s">
        <v>1483</v>
      </c>
      <c r="V5" s="9"/>
      <c r="W5" s="1" t="s">
        <v>2023</v>
      </c>
      <c r="X5" s="1" t="s">
        <v>2024</v>
      </c>
      <c r="Y5" s="1" t="s">
        <v>2026</v>
      </c>
      <c r="Z5" s="11" t="s">
        <v>2025</v>
      </c>
      <c r="AA5" s="1" t="s">
        <v>1483</v>
      </c>
      <c r="AB5" s="9"/>
      <c r="AC5" s="1"/>
      <c r="AD5" s="1"/>
      <c r="AE5" s="1"/>
      <c r="AF5" s="1"/>
      <c r="AG5" s="1"/>
      <c r="AI5" s="11" t="s">
        <v>2031</v>
      </c>
    </row>
    <row r="6" spans="1:35" x14ac:dyDescent="0.25">
      <c r="A6" s="1" t="s">
        <v>414</v>
      </c>
      <c r="B6" s="18" t="s">
        <v>2871</v>
      </c>
      <c r="C6" s="1" t="s">
        <v>2137</v>
      </c>
      <c r="D6" s="1" t="s">
        <v>2440</v>
      </c>
      <c r="E6" s="1" t="s">
        <v>2441</v>
      </c>
      <c r="F6" s="1" t="s">
        <v>4863</v>
      </c>
      <c r="G6" s="1" t="s">
        <v>4874</v>
      </c>
      <c r="H6" s="13" t="s">
        <v>4869</v>
      </c>
      <c r="I6" s="1" t="s">
        <v>4923</v>
      </c>
      <c r="J6" s="1" t="s">
        <v>4896</v>
      </c>
      <c r="K6" s="13" t="s">
        <v>4911</v>
      </c>
      <c r="L6" s="1" t="s">
        <v>1483</v>
      </c>
      <c r="M6" s="1" t="s">
        <v>1483</v>
      </c>
      <c r="N6" s="1" t="s">
        <v>1483</v>
      </c>
      <c r="O6" s="1" t="s">
        <v>1483</v>
      </c>
      <c r="P6" s="9"/>
      <c r="Q6" s="1" t="s">
        <v>2442</v>
      </c>
      <c r="R6" s="1" t="s">
        <v>2443</v>
      </c>
      <c r="S6" s="1">
        <v>8111340677</v>
      </c>
      <c r="T6" s="11" t="s">
        <v>2444</v>
      </c>
      <c r="U6" s="1">
        <v>8134597520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2445</v>
      </c>
    </row>
    <row r="7" spans="1:35" x14ac:dyDescent="0.25">
      <c r="A7" s="1" t="s">
        <v>415</v>
      </c>
      <c r="B7" s="18" t="s">
        <v>2872</v>
      </c>
      <c r="C7" s="1" t="s">
        <v>2264</v>
      </c>
      <c r="D7" s="1" t="s">
        <v>2446</v>
      </c>
      <c r="E7" s="1" t="s">
        <v>2447</v>
      </c>
      <c r="F7" s="1" t="s">
        <v>4864</v>
      </c>
      <c r="G7" s="1" t="s">
        <v>4873</v>
      </c>
      <c r="H7" s="13" t="s">
        <v>4869</v>
      </c>
      <c r="I7" s="1" t="s">
        <v>4918</v>
      </c>
      <c r="J7" s="1" t="s">
        <v>4896</v>
      </c>
      <c r="K7" s="13" t="s">
        <v>4911</v>
      </c>
      <c r="L7" s="1" t="s">
        <v>1778</v>
      </c>
      <c r="M7" s="1">
        <v>8131114306</v>
      </c>
      <c r="N7" s="11" t="s">
        <v>2448</v>
      </c>
      <c r="O7" s="1">
        <v>8131114306</v>
      </c>
      <c r="P7" s="9"/>
      <c r="Q7" s="1" t="s">
        <v>2447</v>
      </c>
      <c r="R7" s="1" t="s">
        <v>1778</v>
      </c>
      <c r="S7" s="1">
        <v>8131114306</v>
      </c>
      <c r="T7" s="11" t="s">
        <v>2448</v>
      </c>
      <c r="U7" s="1">
        <v>8131114306</v>
      </c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1" t="s">
        <v>2449</v>
      </c>
    </row>
    <row r="8" spans="1:35" x14ac:dyDescent="0.25">
      <c r="A8" s="1" t="s">
        <v>416</v>
      </c>
      <c r="B8" s="18" t="s">
        <v>2873</v>
      </c>
      <c r="C8" s="1" t="s">
        <v>2259</v>
      </c>
      <c r="D8" s="1" t="s">
        <v>2450</v>
      </c>
      <c r="E8" s="1" t="s">
        <v>2451</v>
      </c>
      <c r="F8" s="1" t="s">
        <v>4864</v>
      </c>
      <c r="G8" s="1" t="s">
        <v>4875</v>
      </c>
      <c r="H8" s="13" t="s">
        <v>4869</v>
      </c>
      <c r="I8" s="1" t="s">
        <v>4921</v>
      </c>
      <c r="J8" s="1" t="s">
        <v>4896</v>
      </c>
      <c r="K8" s="1" t="s">
        <v>4943</v>
      </c>
      <c r="L8" s="1" t="s">
        <v>2452</v>
      </c>
      <c r="M8" s="1" t="s">
        <v>1483</v>
      </c>
      <c r="N8" s="1" t="s">
        <v>1483</v>
      </c>
      <c r="O8" s="1" t="s">
        <v>1483</v>
      </c>
      <c r="P8" s="9"/>
      <c r="Q8" s="1" t="s">
        <v>2453</v>
      </c>
      <c r="R8" s="1" t="s">
        <v>2454</v>
      </c>
      <c r="S8" s="1">
        <v>8114100723</v>
      </c>
      <c r="T8" s="11" t="s">
        <v>2455</v>
      </c>
      <c r="U8" s="1">
        <v>8114100723</v>
      </c>
      <c r="V8" s="9"/>
      <c r="W8" s="1" t="s">
        <v>2456</v>
      </c>
      <c r="X8" s="1" t="s">
        <v>2457</v>
      </c>
      <c r="Y8" s="1">
        <v>8118622658</v>
      </c>
      <c r="Z8" s="11" t="s">
        <v>2458</v>
      </c>
      <c r="AA8" s="1">
        <v>8118622658</v>
      </c>
      <c r="AB8" s="9"/>
      <c r="AC8" s="1" t="s">
        <v>2459</v>
      </c>
      <c r="AD8" s="1" t="s">
        <v>2460</v>
      </c>
      <c r="AE8" s="1">
        <v>8111819195</v>
      </c>
      <c r="AF8" s="11" t="s">
        <v>2461</v>
      </c>
      <c r="AG8" s="1">
        <v>8111819195</v>
      </c>
      <c r="AI8" s="11" t="s">
        <v>2462</v>
      </c>
    </row>
    <row r="9" spans="1:35" x14ac:dyDescent="0.25">
      <c r="A9" s="1" t="s">
        <v>417</v>
      </c>
      <c r="B9" s="16"/>
      <c r="C9" s="13" t="s">
        <v>2264</v>
      </c>
      <c r="D9" s="1" t="s">
        <v>2463</v>
      </c>
      <c r="E9" s="1" t="s">
        <v>2464</v>
      </c>
      <c r="F9" s="1" t="s">
        <v>4866</v>
      </c>
      <c r="G9" s="1" t="s">
        <v>4875</v>
      </c>
      <c r="H9" s="1" t="s">
        <v>4868</v>
      </c>
      <c r="I9" s="1" t="s">
        <v>5081</v>
      </c>
      <c r="J9" s="1" t="s">
        <v>4896</v>
      </c>
      <c r="K9" s="1" t="s">
        <v>4911</v>
      </c>
      <c r="L9" s="1" t="s">
        <v>2465</v>
      </c>
      <c r="M9" s="1" t="s">
        <v>2466</v>
      </c>
      <c r="N9" s="11" t="s">
        <v>2467</v>
      </c>
      <c r="O9" s="1" t="s">
        <v>2468</v>
      </c>
      <c r="P9" s="9"/>
      <c r="Q9" s="1" t="s">
        <v>2464</v>
      </c>
      <c r="R9" s="1" t="s">
        <v>2465</v>
      </c>
      <c r="S9" s="1" t="s">
        <v>2466</v>
      </c>
      <c r="T9" s="11" t="s">
        <v>2467</v>
      </c>
      <c r="U9" s="1" t="s">
        <v>2468</v>
      </c>
      <c r="V9" s="9"/>
      <c r="W9" s="1" t="s">
        <v>2469</v>
      </c>
      <c r="X9" s="1" t="s">
        <v>2470</v>
      </c>
      <c r="Y9" s="1" t="s">
        <v>2471</v>
      </c>
      <c r="Z9" s="11" t="s">
        <v>2472</v>
      </c>
      <c r="AA9" s="1" t="s">
        <v>1483</v>
      </c>
      <c r="AB9" s="9"/>
      <c r="AC9" s="1"/>
      <c r="AD9" s="1"/>
      <c r="AE9" s="1"/>
      <c r="AF9" s="1"/>
      <c r="AG9" s="1"/>
      <c r="AI9" s="11" t="s">
        <v>2473</v>
      </c>
    </row>
    <row r="10" spans="1:35" x14ac:dyDescent="0.25">
      <c r="A10" s="1" t="s">
        <v>418</v>
      </c>
      <c r="B10" s="18" t="s">
        <v>2874</v>
      </c>
      <c r="C10" s="1" t="s">
        <v>2264</v>
      </c>
      <c r="D10" s="1" t="s">
        <v>2474</v>
      </c>
      <c r="E10" s="1" t="s">
        <v>2475</v>
      </c>
      <c r="F10" s="1" t="s">
        <v>4863</v>
      </c>
      <c r="G10" s="1" t="s">
        <v>4873</v>
      </c>
      <c r="H10" s="1" t="s">
        <v>4869</v>
      </c>
      <c r="I10" s="1" t="s">
        <v>4933</v>
      </c>
      <c r="J10" s="1" t="s">
        <v>4896</v>
      </c>
      <c r="K10" s="13" t="s">
        <v>4911</v>
      </c>
      <c r="L10" s="1" t="s">
        <v>2476</v>
      </c>
      <c r="M10" s="1">
        <v>8116620681</v>
      </c>
      <c r="N10" s="11" t="s">
        <v>2477</v>
      </c>
      <c r="O10" s="1">
        <v>8116620681</v>
      </c>
      <c r="P10" s="9"/>
      <c r="Q10" s="1" t="s">
        <v>2475</v>
      </c>
      <c r="R10" s="1" t="s">
        <v>2476</v>
      </c>
      <c r="S10" s="1">
        <v>8116620681</v>
      </c>
      <c r="T10" s="11" t="s">
        <v>2477</v>
      </c>
      <c r="U10" s="1">
        <v>8116620681</v>
      </c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1" t="s">
        <v>2478</v>
      </c>
    </row>
    <row r="11" spans="1:35" x14ac:dyDescent="0.25">
      <c r="A11" s="1" t="s">
        <v>419</v>
      </c>
      <c r="B11" s="18" t="s">
        <v>3930</v>
      </c>
      <c r="C11" s="1" t="s">
        <v>3103</v>
      </c>
      <c r="D11" s="1" t="s">
        <v>3104</v>
      </c>
      <c r="E11" s="1" t="s">
        <v>3105</v>
      </c>
      <c r="F11" s="1" t="s">
        <v>4866</v>
      </c>
      <c r="G11" s="1" t="s">
        <v>4874</v>
      </c>
      <c r="H11" s="1" t="s">
        <v>4869</v>
      </c>
      <c r="I11" s="1" t="s">
        <v>4923</v>
      </c>
      <c r="J11" s="1" t="s">
        <v>4896</v>
      </c>
      <c r="K11" s="1" t="s">
        <v>4924</v>
      </c>
      <c r="L11" s="1" t="s">
        <v>3027</v>
      </c>
      <c r="M11" s="1">
        <v>8116537274</v>
      </c>
      <c r="N11" s="11" t="s">
        <v>3106</v>
      </c>
      <c r="O11" s="1">
        <v>8116537274</v>
      </c>
      <c r="P11" s="9"/>
      <c r="Q11" s="1" t="s">
        <v>3105</v>
      </c>
      <c r="R11" s="1" t="s">
        <v>3027</v>
      </c>
      <c r="S11" s="1">
        <v>8116537274</v>
      </c>
      <c r="T11" s="11" t="s">
        <v>3106</v>
      </c>
      <c r="U11" s="1">
        <v>8116537274</v>
      </c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1" t="s">
        <v>3107</v>
      </c>
    </row>
    <row r="12" spans="1:35" x14ac:dyDescent="0.25">
      <c r="A12" s="1" t="s">
        <v>420</v>
      </c>
      <c r="B12" s="18" t="s">
        <v>4008</v>
      </c>
      <c r="C12" s="1" t="s">
        <v>1839</v>
      </c>
      <c r="D12" s="1" t="s">
        <v>4009</v>
      </c>
      <c r="E12" s="1" t="s">
        <v>3548</v>
      </c>
      <c r="F12" s="1" t="s">
        <v>4866</v>
      </c>
      <c r="G12" s="1" t="s">
        <v>4874</v>
      </c>
      <c r="H12" s="1" t="s">
        <v>4868</v>
      </c>
      <c r="I12" s="1" t="s">
        <v>5082</v>
      </c>
      <c r="J12" s="1" t="s">
        <v>4896</v>
      </c>
      <c r="K12" s="1" t="s">
        <v>4911</v>
      </c>
      <c r="L12" s="1" t="s">
        <v>1482</v>
      </c>
      <c r="M12" s="1">
        <v>8120204600</v>
      </c>
      <c r="N12" s="11" t="s">
        <v>3549</v>
      </c>
      <c r="O12" s="1">
        <v>8110505743</v>
      </c>
      <c r="P12" s="9"/>
      <c r="Q12" s="1" t="s">
        <v>3548</v>
      </c>
      <c r="R12" s="1" t="s">
        <v>1482</v>
      </c>
      <c r="S12" s="1">
        <v>8120204600</v>
      </c>
      <c r="T12" s="11" t="s">
        <v>3550</v>
      </c>
      <c r="U12" s="1">
        <v>8110505743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3551</v>
      </c>
    </row>
    <row r="13" spans="1:35" x14ac:dyDescent="0.25">
      <c r="A13" s="1" t="s">
        <v>421</v>
      </c>
      <c r="B13" s="18" t="s">
        <v>4007</v>
      </c>
      <c r="C13" s="1" t="s">
        <v>3502</v>
      </c>
      <c r="D13" t="s">
        <v>3674</v>
      </c>
      <c r="E13" s="1" t="s">
        <v>3673</v>
      </c>
      <c r="F13" s="1" t="s">
        <v>4865</v>
      </c>
      <c r="G13" s="1" t="s">
        <v>4874</v>
      </c>
      <c r="H13" s="1" t="s">
        <v>4869</v>
      </c>
      <c r="I13" s="1" t="s">
        <v>5083</v>
      </c>
      <c r="J13" s="1" t="s">
        <v>4896</v>
      </c>
      <c r="K13" s="1" t="s">
        <v>4924</v>
      </c>
      <c r="L13" s="1" t="s">
        <v>2689</v>
      </c>
      <c r="M13" s="1">
        <v>8115447184</v>
      </c>
      <c r="N13" s="11" t="s">
        <v>3675</v>
      </c>
      <c r="O13" s="1">
        <v>8115447184</v>
      </c>
      <c r="P13" s="9"/>
      <c r="Q13" s="1" t="s">
        <v>3673</v>
      </c>
      <c r="R13" s="1" t="s">
        <v>2689</v>
      </c>
      <c r="S13" s="1">
        <v>8115447184</v>
      </c>
      <c r="T13" s="11" t="s">
        <v>3675</v>
      </c>
      <c r="U13" s="1">
        <v>8115447184</v>
      </c>
      <c r="V13" s="9"/>
      <c r="W13" s="1" t="s">
        <v>3676</v>
      </c>
      <c r="X13" s="1" t="s">
        <v>3677</v>
      </c>
      <c r="Y13" s="1">
        <v>8110688983</v>
      </c>
      <c r="Z13" s="11" t="s">
        <v>3678</v>
      </c>
      <c r="AA13" s="1">
        <v>8110688983</v>
      </c>
      <c r="AB13" s="9"/>
      <c r="AC13" s="1" t="s">
        <v>3679</v>
      </c>
      <c r="AD13" s="1" t="s">
        <v>3073</v>
      </c>
      <c r="AE13" s="1">
        <v>8122066015</v>
      </c>
      <c r="AF13" s="11" t="s">
        <v>3680</v>
      </c>
      <c r="AG13" s="1">
        <v>8122066015</v>
      </c>
      <c r="AI13" s="11" t="s">
        <v>3681</v>
      </c>
    </row>
    <row r="14" spans="1:35" x14ac:dyDescent="0.25">
      <c r="A14" s="1" t="s">
        <v>422</v>
      </c>
      <c r="B14" s="1"/>
      <c r="C14" s="1" t="s">
        <v>3284</v>
      </c>
      <c r="D14" s="1" t="s">
        <v>4027</v>
      </c>
      <c r="E14" s="1" t="s">
        <v>4028</v>
      </c>
      <c r="F14" s="1" t="s">
        <v>4865</v>
      </c>
      <c r="G14" s="1" t="s">
        <v>4874</v>
      </c>
      <c r="H14" s="1" t="s">
        <v>4869</v>
      </c>
      <c r="I14" s="1" t="s">
        <v>5084</v>
      </c>
      <c r="J14" s="1" t="s">
        <v>4896</v>
      </c>
      <c r="K14" s="1" t="s">
        <v>4924</v>
      </c>
      <c r="L14" s="1" t="s">
        <v>4035</v>
      </c>
      <c r="M14" s="1" t="s">
        <v>1483</v>
      </c>
      <c r="N14" s="11" t="s">
        <v>4029</v>
      </c>
      <c r="O14" s="1" t="s">
        <v>1483</v>
      </c>
      <c r="P14" s="9"/>
      <c r="Q14" s="1" t="s">
        <v>4030</v>
      </c>
      <c r="R14" s="1" t="s">
        <v>3627</v>
      </c>
      <c r="S14" s="1">
        <v>8121082403</v>
      </c>
      <c r="T14" s="11" t="s">
        <v>4031</v>
      </c>
      <c r="U14" s="1">
        <v>8121082403</v>
      </c>
      <c r="V14" s="9"/>
      <c r="W14" s="1" t="s">
        <v>4032</v>
      </c>
      <c r="X14" s="1" t="s">
        <v>4033</v>
      </c>
      <c r="Y14" s="1">
        <v>8125139541</v>
      </c>
      <c r="Z14" s="11" t="s">
        <v>4034</v>
      </c>
      <c r="AA14" s="1">
        <v>8125139541</v>
      </c>
      <c r="AB14" s="9"/>
      <c r="AC14" s="1" t="s">
        <v>4028</v>
      </c>
      <c r="AD14" s="1" t="s">
        <v>1482</v>
      </c>
      <c r="AE14" s="1" t="s">
        <v>1483</v>
      </c>
      <c r="AF14" s="11" t="s">
        <v>4029</v>
      </c>
      <c r="AG14" s="1" t="s">
        <v>1483</v>
      </c>
      <c r="AI14" s="11" t="s">
        <v>4036</v>
      </c>
    </row>
    <row r="15" spans="1:35" x14ac:dyDescent="0.25">
      <c r="A15" s="1" t="s">
        <v>423</v>
      </c>
      <c r="B15" s="1" t="s">
        <v>4209</v>
      </c>
      <c r="C15" s="1" t="s">
        <v>4073</v>
      </c>
      <c r="D15" s="1" t="s">
        <v>4208</v>
      </c>
      <c r="E15" s="1" t="s">
        <v>2069</v>
      </c>
      <c r="F15" s="1" t="s">
        <v>4867</v>
      </c>
      <c r="G15" s="1" t="s">
        <v>4875</v>
      </c>
      <c r="H15" s="1" t="s">
        <v>4869</v>
      </c>
      <c r="I15" s="1" t="s">
        <v>5083</v>
      </c>
      <c r="J15" s="1" t="s">
        <v>4896</v>
      </c>
      <c r="K15" s="1" t="s">
        <v>4924</v>
      </c>
      <c r="L15" s="1" t="s">
        <v>4210</v>
      </c>
      <c r="M15" s="1">
        <v>8186894433</v>
      </c>
      <c r="N15" s="11" t="s">
        <v>2071</v>
      </c>
      <c r="O15" s="1">
        <v>8186894433</v>
      </c>
      <c r="P15" s="9"/>
      <c r="Q15" s="1" t="s">
        <v>2069</v>
      </c>
      <c r="R15" s="1" t="s">
        <v>4210</v>
      </c>
      <c r="S15" s="1">
        <v>8186894433</v>
      </c>
      <c r="T15" s="11" t="s">
        <v>2071</v>
      </c>
      <c r="U15" s="1">
        <v>8186894433</v>
      </c>
      <c r="V15" s="9"/>
      <c r="W15" s="1" t="s">
        <v>4211</v>
      </c>
      <c r="X15" s="1" t="s">
        <v>4212</v>
      </c>
      <c r="Y15" s="1">
        <v>8114736751</v>
      </c>
      <c r="Z15" s="11" t="s">
        <v>4213</v>
      </c>
      <c r="AA15" s="1">
        <v>8114736751</v>
      </c>
      <c r="AB15" s="9"/>
      <c r="AC15" s="1"/>
      <c r="AD15" s="1"/>
      <c r="AE15" s="1"/>
      <c r="AF15" s="1"/>
      <c r="AG15" s="1"/>
      <c r="AI15" s="11" t="s">
        <v>4214</v>
      </c>
    </row>
    <row r="16" spans="1:35" x14ac:dyDescent="0.25">
      <c r="A16" s="1" t="s">
        <v>424</v>
      </c>
      <c r="B16" s="1"/>
      <c r="C16" s="1" t="s">
        <v>4057</v>
      </c>
      <c r="D16" s="1" t="s">
        <v>4243</v>
      </c>
      <c r="E16" s="1" t="s">
        <v>4244</v>
      </c>
      <c r="F16" s="1" t="s">
        <v>4865</v>
      </c>
      <c r="G16" s="1" t="s">
        <v>4873</v>
      </c>
      <c r="H16" s="1" t="s">
        <v>4869</v>
      </c>
      <c r="I16" s="1" t="s">
        <v>5085</v>
      </c>
      <c r="J16" s="1" t="s">
        <v>4896</v>
      </c>
      <c r="K16" s="1" t="s">
        <v>4911</v>
      </c>
      <c r="L16" s="1" t="s">
        <v>1461</v>
      </c>
      <c r="M16" s="1">
        <v>8116027992</v>
      </c>
      <c r="N16" s="11" t="s">
        <v>4245</v>
      </c>
      <c r="O16" s="1">
        <v>8116027992</v>
      </c>
      <c r="P16" s="9"/>
      <c r="Q16" s="1" t="s">
        <v>4244</v>
      </c>
      <c r="R16" s="1" t="s">
        <v>1461</v>
      </c>
      <c r="S16" s="1">
        <v>8116027992</v>
      </c>
      <c r="T16" s="11" t="s">
        <v>4245</v>
      </c>
      <c r="U16" s="1">
        <v>8116027992</v>
      </c>
      <c r="V16" s="9"/>
      <c r="W16" s="1" t="s">
        <v>4246</v>
      </c>
      <c r="X16" s="1" t="s">
        <v>4247</v>
      </c>
      <c r="Y16" s="1">
        <v>8119053674</v>
      </c>
      <c r="Z16" s="11" t="s">
        <v>4248</v>
      </c>
      <c r="AA16" s="1">
        <v>8119053674</v>
      </c>
      <c r="AB16" s="9"/>
      <c r="AC16" s="1"/>
      <c r="AD16" s="1"/>
      <c r="AE16" s="1"/>
      <c r="AF16" s="1"/>
      <c r="AG16" s="1"/>
      <c r="AI16" s="11" t="s">
        <v>4249</v>
      </c>
    </row>
    <row r="17" spans="1:35" x14ac:dyDescent="0.25">
      <c r="A17" s="1" t="s">
        <v>425</v>
      </c>
      <c r="B17" s="18" t="s">
        <v>4394</v>
      </c>
      <c r="C17" s="1" t="s">
        <v>4375</v>
      </c>
      <c r="D17" s="1" t="s">
        <v>4393</v>
      </c>
      <c r="E17" s="1" t="s">
        <v>4395</v>
      </c>
      <c r="F17" s="1" t="s">
        <v>4865</v>
      </c>
      <c r="G17" s="1" t="s">
        <v>4874</v>
      </c>
      <c r="H17" s="1" t="s">
        <v>4869</v>
      </c>
      <c r="I17" s="1" t="s">
        <v>5083</v>
      </c>
      <c r="J17" s="1" t="s">
        <v>4896</v>
      </c>
      <c r="K17" s="1" t="s">
        <v>4924</v>
      </c>
      <c r="L17" s="1" t="s">
        <v>2351</v>
      </c>
      <c r="M17" s="1" t="s">
        <v>4396</v>
      </c>
      <c r="N17" s="11" t="s">
        <v>4397</v>
      </c>
      <c r="O17" s="1">
        <v>8121220443</v>
      </c>
      <c r="P17" s="9"/>
      <c r="Q17" s="1" t="s">
        <v>4395</v>
      </c>
      <c r="R17" s="1" t="s">
        <v>2351</v>
      </c>
      <c r="S17" s="1" t="s">
        <v>4396</v>
      </c>
      <c r="T17" s="11" t="s">
        <v>4397</v>
      </c>
      <c r="U17" s="1">
        <v>8121220443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4398</v>
      </c>
    </row>
    <row r="18" spans="1:35" x14ac:dyDescent="0.25">
      <c r="A18" s="1" t="s">
        <v>426</v>
      </c>
      <c r="B18" s="18" t="s">
        <v>4406</v>
      </c>
      <c r="C18" s="1" t="s">
        <v>4073</v>
      </c>
      <c r="D18" s="1" t="s">
        <v>4405</v>
      </c>
      <c r="E18" s="1" t="s">
        <v>4407</v>
      </c>
      <c r="F18" s="1" t="s">
        <v>4867</v>
      </c>
      <c r="G18" s="1" t="s">
        <v>4875</v>
      </c>
      <c r="H18" s="1" t="s">
        <v>4869</v>
      </c>
      <c r="I18" s="1" t="s">
        <v>5083</v>
      </c>
      <c r="J18" s="1" t="s">
        <v>4896</v>
      </c>
      <c r="K18" s="1" t="s">
        <v>4931</v>
      </c>
      <c r="L18" s="1" t="s">
        <v>1453</v>
      </c>
      <c r="M18" s="1">
        <v>8110225844</v>
      </c>
      <c r="N18" s="11" t="s">
        <v>4408</v>
      </c>
      <c r="O18" s="1">
        <v>8110225844</v>
      </c>
      <c r="P18" s="9"/>
      <c r="Q18" s="1" t="s">
        <v>4409</v>
      </c>
      <c r="R18" s="1" t="s">
        <v>4410</v>
      </c>
      <c r="S18" s="1">
        <v>8124667535</v>
      </c>
      <c r="T18" s="11" t="s">
        <v>4411</v>
      </c>
      <c r="U18" s="1">
        <v>8124667535</v>
      </c>
      <c r="V18" s="9"/>
      <c r="W18" s="1" t="s">
        <v>4412</v>
      </c>
      <c r="X18" s="1" t="s">
        <v>4413</v>
      </c>
      <c r="Y18" s="1">
        <v>8115446202</v>
      </c>
      <c r="Z18" s="11" t="s">
        <v>4414</v>
      </c>
      <c r="AA18" s="1">
        <v>8115446202</v>
      </c>
      <c r="AB18" s="9"/>
      <c r="AC18" s="1" t="s">
        <v>4407</v>
      </c>
      <c r="AD18" s="1" t="s">
        <v>1453</v>
      </c>
      <c r="AE18" s="1">
        <v>8110225844</v>
      </c>
      <c r="AF18" s="11" t="s">
        <v>4408</v>
      </c>
      <c r="AG18" s="1">
        <v>8110225844</v>
      </c>
      <c r="AH18" s="30"/>
      <c r="AI18" s="11" t="s">
        <v>4415</v>
      </c>
    </row>
    <row r="19" spans="1:35" x14ac:dyDescent="0.25">
      <c r="A19" s="1" t="s">
        <v>427</v>
      </c>
      <c r="B19" s="1"/>
      <c r="C19" s="1" t="s">
        <v>4490</v>
      </c>
      <c r="D19" t="s">
        <v>4579</v>
      </c>
      <c r="E19" s="1" t="s">
        <v>4578</v>
      </c>
      <c r="F19" s="1" t="s">
        <v>4866</v>
      </c>
      <c r="G19" s="1" t="s">
        <v>4874</v>
      </c>
      <c r="H19" s="1" t="s">
        <v>4871</v>
      </c>
      <c r="I19" s="1" t="s">
        <v>5023</v>
      </c>
      <c r="J19" s="1" t="s">
        <v>4896</v>
      </c>
      <c r="K19" s="1" t="s">
        <v>5008</v>
      </c>
      <c r="L19" s="1" t="s">
        <v>4580</v>
      </c>
      <c r="M19" s="1">
        <v>8110740338</v>
      </c>
      <c r="N19" s="11" t="s">
        <v>4581</v>
      </c>
      <c r="O19" s="1">
        <v>8211195053</v>
      </c>
      <c r="P19" s="9"/>
      <c r="Q19" s="1" t="s">
        <v>4582</v>
      </c>
      <c r="R19" s="1" t="s">
        <v>4583</v>
      </c>
      <c r="S19" s="1">
        <v>8211005845</v>
      </c>
      <c r="T19" s="11" t="s">
        <v>4584</v>
      </c>
      <c r="U19" s="1">
        <v>8211005845</v>
      </c>
      <c r="V19" s="9"/>
      <c r="W19" s="1" t="s">
        <v>4578</v>
      </c>
      <c r="X19" s="1" t="s">
        <v>4580</v>
      </c>
      <c r="Y19" s="1">
        <v>8110740338</v>
      </c>
      <c r="Z19" s="11" t="s">
        <v>4581</v>
      </c>
      <c r="AA19" s="1">
        <v>8211195053</v>
      </c>
      <c r="AB19" s="9"/>
      <c r="AC19" s="1"/>
      <c r="AD19" s="1"/>
      <c r="AE19" s="1"/>
      <c r="AF19" s="1"/>
      <c r="AG19" s="1"/>
      <c r="AI19" s="11" t="s">
        <v>4585</v>
      </c>
    </row>
    <row r="20" spans="1:35" x14ac:dyDescent="0.25">
      <c r="A20" s="1" t="s">
        <v>428</v>
      </c>
      <c r="B20" s="18" t="s">
        <v>5297</v>
      </c>
      <c r="C20" s="1" t="s">
        <v>5202</v>
      </c>
      <c r="D20" s="1" t="s">
        <v>5296</v>
      </c>
      <c r="E20" s="1" t="s">
        <v>5298</v>
      </c>
      <c r="F20" s="1"/>
      <c r="G20" s="1"/>
      <c r="H20" s="1"/>
      <c r="I20" s="1"/>
      <c r="J20" s="1"/>
      <c r="K20" s="1"/>
      <c r="L20" s="1" t="s">
        <v>5299</v>
      </c>
      <c r="M20" s="1">
        <v>8125615605</v>
      </c>
      <c r="N20" s="11" t="s">
        <v>5300</v>
      </c>
      <c r="O20" s="1">
        <v>8125615605</v>
      </c>
      <c r="P20" s="9"/>
      <c r="Q20" s="1" t="s">
        <v>5298</v>
      </c>
      <c r="R20" s="1" t="s">
        <v>5299</v>
      </c>
      <c r="S20" s="1">
        <v>8125615605</v>
      </c>
      <c r="T20" s="11" t="s">
        <v>5300</v>
      </c>
      <c r="U20" s="1">
        <v>8125615605</v>
      </c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1" t="s">
        <v>5301</v>
      </c>
    </row>
    <row r="21" spans="1:35" x14ac:dyDescent="0.25">
      <c r="A21" s="1" t="s">
        <v>429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430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431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432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433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434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435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436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437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438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439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440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441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442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443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444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445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446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447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448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449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450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451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452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453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454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455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456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457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458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459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SUBTOTAL(103,Tabla12[ARCHIVO])</f>
        <v>19</v>
      </c>
    </row>
  </sheetData>
  <hyperlinks>
    <hyperlink ref="N2" r:id="rId1" xr:uid="{00000000-0004-0000-0900-000000000000}"/>
    <hyperlink ref="T2" r:id="rId2" xr:uid="{00000000-0004-0000-0900-000001000000}"/>
    <hyperlink ref="AF2" r:id="rId3" xr:uid="{00000000-0004-0000-0900-000002000000}"/>
    <hyperlink ref="Z2" r:id="rId4" xr:uid="{00000000-0004-0000-0900-000003000000}"/>
    <hyperlink ref="AI2" r:id="rId5" xr:uid="{00000000-0004-0000-0900-000004000000}"/>
    <hyperlink ref="N3" r:id="rId6" xr:uid="{00000000-0004-0000-0900-000005000000}"/>
    <hyperlink ref="T3" r:id="rId7" xr:uid="{00000000-0004-0000-0900-000006000000}"/>
    <hyperlink ref="Z3" r:id="rId8" xr:uid="{00000000-0004-0000-0900-000007000000}"/>
    <hyperlink ref="AF3" r:id="rId9" xr:uid="{00000000-0004-0000-0900-000008000000}"/>
    <hyperlink ref="AI3" r:id="rId10" xr:uid="{00000000-0004-0000-0900-000009000000}"/>
    <hyperlink ref="N4" r:id="rId11" xr:uid="{00000000-0004-0000-0900-00000A000000}"/>
    <hyperlink ref="Z4" r:id="rId12" xr:uid="{00000000-0004-0000-0900-00000B000000}"/>
    <hyperlink ref="AF4" r:id="rId13" xr:uid="{00000000-0004-0000-0900-00000C000000}"/>
    <hyperlink ref="AI4" r:id="rId14" xr:uid="{00000000-0004-0000-0900-00000D000000}"/>
    <hyperlink ref="N5" r:id="rId15" xr:uid="{00000000-0004-0000-0900-00000E000000}"/>
    <hyperlink ref="T5" r:id="rId16" xr:uid="{00000000-0004-0000-0900-00000F000000}"/>
    <hyperlink ref="Z5" r:id="rId17" xr:uid="{00000000-0004-0000-0900-000010000000}"/>
    <hyperlink ref="AI5" r:id="rId18" xr:uid="{00000000-0004-0000-0900-000011000000}"/>
    <hyperlink ref="T4" r:id="rId19" xr:uid="{00000000-0004-0000-0900-000012000000}"/>
    <hyperlink ref="T6" r:id="rId20" xr:uid="{00000000-0004-0000-0900-000013000000}"/>
    <hyperlink ref="AI6" r:id="rId21" xr:uid="{00000000-0004-0000-0900-000014000000}"/>
    <hyperlink ref="N7" r:id="rId22" xr:uid="{00000000-0004-0000-0900-000015000000}"/>
    <hyperlink ref="AI7" r:id="rId23" xr:uid="{00000000-0004-0000-0900-000016000000}"/>
    <hyperlink ref="T8" r:id="rId24" xr:uid="{00000000-0004-0000-0900-000017000000}"/>
    <hyperlink ref="Z8" r:id="rId25" xr:uid="{00000000-0004-0000-0900-000018000000}"/>
    <hyperlink ref="AF8" r:id="rId26" xr:uid="{00000000-0004-0000-0900-000019000000}"/>
    <hyperlink ref="AI8" r:id="rId27" xr:uid="{00000000-0004-0000-0900-00001A000000}"/>
    <hyperlink ref="N9" r:id="rId28" xr:uid="{00000000-0004-0000-0900-00001B000000}"/>
    <hyperlink ref="T9" r:id="rId29" xr:uid="{00000000-0004-0000-0900-00001C000000}"/>
    <hyperlink ref="Z9" r:id="rId30" xr:uid="{00000000-0004-0000-0900-00001D000000}"/>
    <hyperlink ref="AI9" r:id="rId31" xr:uid="{00000000-0004-0000-0900-00001E000000}"/>
    <hyperlink ref="N10" r:id="rId32" xr:uid="{00000000-0004-0000-0900-00001F000000}"/>
    <hyperlink ref="AI10" r:id="rId33" xr:uid="{00000000-0004-0000-0900-000020000000}"/>
    <hyperlink ref="N11" r:id="rId34" xr:uid="{00000000-0004-0000-0900-000021000000}"/>
    <hyperlink ref="AI11" r:id="rId35" xr:uid="{00000000-0004-0000-0900-000022000000}"/>
    <hyperlink ref="N12" r:id="rId36" xr:uid="{00000000-0004-0000-0900-000023000000}"/>
    <hyperlink ref="T12" r:id="rId37" xr:uid="{00000000-0004-0000-0900-000024000000}"/>
    <hyperlink ref="AI12" r:id="rId38" xr:uid="{00000000-0004-0000-0900-000025000000}"/>
    <hyperlink ref="N13" r:id="rId39" xr:uid="{00000000-0004-0000-0900-000026000000}"/>
    <hyperlink ref="T13" r:id="rId40" xr:uid="{00000000-0004-0000-0900-000027000000}"/>
    <hyperlink ref="Z13" r:id="rId41" xr:uid="{00000000-0004-0000-0900-000028000000}"/>
    <hyperlink ref="AF13" r:id="rId42" xr:uid="{00000000-0004-0000-0900-000029000000}"/>
    <hyperlink ref="AI13" r:id="rId43" xr:uid="{00000000-0004-0000-0900-00002A000000}"/>
    <hyperlink ref="T7" r:id="rId44" xr:uid="{00000000-0004-0000-0900-00002B000000}"/>
    <hyperlink ref="T10" r:id="rId45" xr:uid="{00000000-0004-0000-0900-00002C000000}"/>
    <hyperlink ref="T11" r:id="rId46" xr:uid="{00000000-0004-0000-0900-00002D000000}"/>
    <hyperlink ref="N14" r:id="rId47" xr:uid="{00000000-0004-0000-0900-00002E000000}"/>
    <hyperlink ref="T14" r:id="rId48" xr:uid="{00000000-0004-0000-0900-00002F000000}"/>
    <hyperlink ref="Z14" r:id="rId49" xr:uid="{00000000-0004-0000-0900-000030000000}"/>
    <hyperlink ref="AF14" r:id="rId50" xr:uid="{00000000-0004-0000-0900-000031000000}"/>
    <hyperlink ref="AI14" r:id="rId51" xr:uid="{00000000-0004-0000-0900-000032000000}"/>
    <hyperlink ref="N15" r:id="rId52" xr:uid="{00000000-0004-0000-0900-000033000000}"/>
    <hyperlink ref="T15" r:id="rId53" xr:uid="{00000000-0004-0000-0900-000034000000}"/>
    <hyperlink ref="Z15" r:id="rId54" xr:uid="{00000000-0004-0000-0900-000035000000}"/>
    <hyperlink ref="AI15" r:id="rId55" xr:uid="{00000000-0004-0000-0900-000036000000}"/>
    <hyperlink ref="N16" r:id="rId56" xr:uid="{00000000-0004-0000-0900-000037000000}"/>
    <hyperlink ref="Z16" r:id="rId57" xr:uid="{00000000-0004-0000-0900-000038000000}"/>
    <hyperlink ref="T16" r:id="rId58" xr:uid="{00000000-0004-0000-0900-000039000000}"/>
    <hyperlink ref="AI16" r:id="rId59" xr:uid="{00000000-0004-0000-0900-00003A000000}"/>
    <hyperlink ref="N17" r:id="rId60" xr:uid="{00000000-0004-0000-0900-00003B000000}"/>
    <hyperlink ref="T17" r:id="rId61" xr:uid="{00000000-0004-0000-0900-00003C000000}"/>
    <hyperlink ref="AI17" r:id="rId62" xr:uid="{00000000-0004-0000-0900-00003D000000}"/>
    <hyperlink ref="N18" r:id="rId63" xr:uid="{00000000-0004-0000-0900-00003E000000}"/>
    <hyperlink ref="T18" r:id="rId64" xr:uid="{00000000-0004-0000-0900-00003F000000}"/>
    <hyperlink ref="Z18" r:id="rId65" xr:uid="{00000000-0004-0000-0900-000040000000}"/>
    <hyperlink ref="AF18" r:id="rId66" xr:uid="{00000000-0004-0000-0900-000041000000}"/>
    <hyperlink ref="AI18" r:id="rId67" xr:uid="{00000000-0004-0000-0900-000042000000}"/>
    <hyperlink ref="N19" r:id="rId68" xr:uid="{00000000-0004-0000-0900-000043000000}"/>
    <hyperlink ref="T19" r:id="rId69" xr:uid="{00000000-0004-0000-0900-000044000000}"/>
    <hyperlink ref="Z19" r:id="rId70" xr:uid="{00000000-0004-0000-0900-000045000000}"/>
    <hyperlink ref="AI19" r:id="rId71" xr:uid="{00000000-0004-0000-0900-000046000000}"/>
    <hyperlink ref="N20" r:id="rId72" xr:uid="{00000000-0004-0000-0900-000047000000}"/>
    <hyperlink ref="T20" r:id="rId73" xr:uid="{00000000-0004-0000-0900-000048000000}"/>
    <hyperlink ref="AI20" r:id="rId74" xr:uid="{00000000-0004-0000-0900-000049000000}"/>
  </hyperlinks>
  <pageMargins left="0.7" right="0.7" top="0.75" bottom="0.75" header="0.3" footer="0.3"/>
  <pageSetup paperSize="9" orientation="portrait" r:id="rId75"/>
  <tableParts count="1">
    <tablePart r:id="rId76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900-000000000000}">
          <x14:formula1>
            <xm:f>DATOS!$B$4:$B$8</xm:f>
          </x14:formula1>
          <xm:sqref>F2:F4 F6:F51</xm:sqref>
        </x14:dataValidation>
        <x14:dataValidation type="list" allowBlank="1" showInputMessage="1" showErrorMessage="1" xr:uid="{00000000-0002-0000-0900-000001000000}">
          <x14:formula1>
            <xm:f>DATOS!$B$13:$B$16</xm:f>
          </x14:formula1>
          <xm:sqref>H2:H4 H53:H1048576 H9:H51</xm:sqref>
        </x14:dataValidation>
        <x14:dataValidation type="list" allowBlank="1" showInputMessage="1" showErrorMessage="1" xr:uid="{00000000-0002-0000-0900-000002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9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52"/>
  <sheetViews>
    <sheetView topLeftCell="AA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140625" bestFit="1" customWidth="1"/>
    <col min="4" max="4" width="60" customWidth="1"/>
    <col min="5" max="5" width="55.42578125" customWidth="1"/>
    <col min="6" max="6" width="27.28515625" customWidth="1"/>
    <col min="7" max="7" width="23.28515625" customWidth="1"/>
    <col min="8" max="8" width="13.5703125" customWidth="1"/>
    <col min="9" max="9" width="16.42578125" customWidth="1"/>
    <col min="10" max="10" width="13.5703125" customWidth="1"/>
    <col min="11" max="11" width="24.85546875" customWidth="1"/>
    <col min="12" max="12" width="32.5703125" customWidth="1"/>
    <col min="13" max="13" width="30.28515625" customWidth="1"/>
    <col min="14" max="14" width="33" bestFit="1" customWidth="1"/>
    <col min="15" max="15" width="12" bestFit="1" customWidth="1"/>
    <col min="16" max="16" width="11" customWidth="1"/>
    <col min="17" max="17" width="43.42578125" customWidth="1"/>
    <col min="18" max="18" width="32" customWidth="1"/>
    <col min="19" max="19" width="31.28515625" customWidth="1"/>
    <col min="20" max="20" width="33" bestFit="1" customWidth="1"/>
    <col min="21" max="21" width="12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7" customWidth="1"/>
    <col min="27" max="27" width="16.85546875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30" customWidth="1"/>
    <col min="33" max="33" width="18.42578125" customWidth="1"/>
    <col min="34" max="34" width="11.85546875" customWidth="1"/>
    <col min="35" max="35" width="87.85546875" customWidth="1"/>
  </cols>
  <sheetData>
    <row r="1" spans="1:36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6" x14ac:dyDescent="0.25">
      <c r="A2" s="1" t="s">
        <v>460</v>
      </c>
      <c r="B2" s="18" t="s">
        <v>2875</v>
      </c>
      <c r="C2" s="1" t="s">
        <v>2264</v>
      </c>
      <c r="D2" s="1" t="s">
        <v>2479</v>
      </c>
      <c r="E2" s="1" t="s">
        <v>2480</v>
      </c>
      <c r="F2" s="1" t="s">
        <v>4863</v>
      </c>
      <c r="G2" s="1" t="s">
        <v>4872</v>
      </c>
      <c r="H2" s="1" t="s">
        <v>4869</v>
      </c>
      <c r="I2" s="1" t="s">
        <v>2097</v>
      </c>
      <c r="J2" s="1" t="s">
        <v>4896</v>
      </c>
      <c r="K2" s="1" t="s">
        <v>4911</v>
      </c>
      <c r="L2" s="1" t="s">
        <v>1494</v>
      </c>
      <c r="M2" s="1">
        <v>8241025458</v>
      </c>
      <c r="N2" s="11" t="s">
        <v>2159</v>
      </c>
      <c r="O2" s="1">
        <v>8241025458</v>
      </c>
      <c r="P2" s="9"/>
      <c r="Q2" s="1" t="s">
        <v>2480</v>
      </c>
      <c r="R2" s="1" t="s">
        <v>1494</v>
      </c>
      <c r="S2" s="1">
        <v>8241025458</v>
      </c>
      <c r="T2" s="11" t="s">
        <v>2159</v>
      </c>
      <c r="U2" s="1">
        <v>8241025458</v>
      </c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1" t="s">
        <v>2481</v>
      </c>
    </row>
    <row r="3" spans="1:36" x14ac:dyDescent="0.25">
      <c r="A3" s="1" t="s">
        <v>461</v>
      </c>
      <c r="B3" s="18" t="s">
        <v>4006</v>
      </c>
      <c r="C3" s="1" t="s">
        <v>3053</v>
      </c>
      <c r="D3" s="1" t="s">
        <v>3108</v>
      </c>
      <c r="E3" s="1" t="s">
        <v>3109</v>
      </c>
      <c r="F3" s="1" t="s">
        <v>4863</v>
      </c>
      <c r="G3" s="1" t="s">
        <v>4872</v>
      </c>
      <c r="H3" s="1" t="s">
        <v>4869</v>
      </c>
      <c r="I3" s="1" t="s">
        <v>2097</v>
      </c>
      <c r="J3" s="1" t="s">
        <v>4896</v>
      </c>
      <c r="K3" s="1" t="s">
        <v>4911</v>
      </c>
      <c r="L3" s="1" t="s">
        <v>2351</v>
      </c>
      <c r="M3" s="1">
        <v>8261294219</v>
      </c>
      <c r="N3" s="11" t="s">
        <v>3110</v>
      </c>
      <c r="O3" s="1">
        <v>8261294219</v>
      </c>
      <c r="P3" s="9"/>
      <c r="Q3" s="1" t="s">
        <v>3109</v>
      </c>
      <c r="R3" s="1" t="s">
        <v>2351</v>
      </c>
      <c r="S3" s="1">
        <v>8261294219</v>
      </c>
      <c r="T3" s="11" t="s">
        <v>3110</v>
      </c>
      <c r="U3" s="1">
        <v>8261294219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3783</v>
      </c>
    </row>
    <row r="4" spans="1:36" x14ac:dyDescent="0.25">
      <c r="A4" s="1" t="s">
        <v>462</v>
      </c>
      <c r="B4" s="18" t="s">
        <v>3935</v>
      </c>
      <c r="C4" s="1" t="s">
        <v>3111</v>
      </c>
      <c r="D4" s="1" t="s">
        <v>3112</v>
      </c>
      <c r="E4" s="1" t="s">
        <v>1483</v>
      </c>
      <c r="F4" s="1" t="s">
        <v>4864</v>
      </c>
      <c r="G4" s="1" t="s">
        <v>4875</v>
      </c>
      <c r="H4" s="1" t="s">
        <v>4869</v>
      </c>
      <c r="I4" s="1" t="s">
        <v>4944</v>
      </c>
      <c r="J4" s="1" t="s">
        <v>4896</v>
      </c>
      <c r="K4" s="1" t="s">
        <v>4911</v>
      </c>
      <c r="L4" s="1" t="s">
        <v>1483</v>
      </c>
      <c r="M4" s="1" t="s">
        <v>1483</v>
      </c>
      <c r="N4" s="1" t="s">
        <v>1483</v>
      </c>
      <c r="O4" s="1" t="s">
        <v>1483</v>
      </c>
      <c r="P4" s="9"/>
      <c r="Q4" s="1" t="s">
        <v>3113</v>
      </c>
      <c r="R4" s="1" t="s">
        <v>3114</v>
      </c>
      <c r="S4" s="1" t="s">
        <v>1483</v>
      </c>
      <c r="T4" s="11" t="s">
        <v>3115</v>
      </c>
      <c r="U4" s="1" t="s">
        <v>1483</v>
      </c>
      <c r="V4" s="9"/>
      <c r="W4" s="1" t="s">
        <v>3116</v>
      </c>
      <c r="X4" s="1" t="s">
        <v>3117</v>
      </c>
      <c r="Y4" s="1" t="s">
        <v>1483</v>
      </c>
      <c r="Z4" s="11" t="s">
        <v>3118</v>
      </c>
      <c r="AA4" s="1" t="s">
        <v>1483</v>
      </c>
      <c r="AB4" s="9"/>
      <c r="AC4" s="1" t="s">
        <v>3119</v>
      </c>
      <c r="AD4" s="1" t="s">
        <v>3120</v>
      </c>
      <c r="AE4" s="1" t="s">
        <v>1483</v>
      </c>
      <c r="AF4" s="11" t="s">
        <v>3121</v>
      </c>
      <c r="AG4" s="1" t="s">
        <v>1483</v>
      </c>
      <c r="AI4" s="11" t="s">
        <v>3784</v>
      </c>
    </row>
    <row r="5" spans="1:36" x14ac:dyDescent="0.25">
      <c r="A5" s="1" t="s">
        <v>463</v>
      </c>
      <c r="B5" s="1"/>
      <c r="C5" s="1" t="s">
        <v>3076</v>
      </c>
      <c r="D5" s="1" t="s">
        <v>3122</v>
      </c>
      <c r="E5" s="1" t="s">
        <v>3123</v>
      </c>
      <c r="F5" s="1" t="s">
        <v>4863</v>
      </c>
      <c r="G5" s="1" t="s">
        <v>4872</v>
      </c>
      <c r="H5" s="1" t="s">
        <v>4869</v>
      </c>
      <c r="I5" s="1" t="s">
        <v>2097</v>
      </c>
      <c r="J5" s="1" t="s">
        <v>4896</v>
      </c>
      <c r="K5" s="1" t="s">
        <v>4911</v>
      </c>
      <c r="L5" s="1" t="s">
        <v>2164</v>
      </c>
      <c r="M5" s="1">
        <v>8211113850</v>
      </c>
      <c r="N5" s="11" t="s">
        <v>3124</v>
      </c>
      <c r="O5" s="1">
        <v>8211113850</v>
      </c>
      <c r="P5" s="9"/>
      <c r="Q5" s="1" t="s">
        <v>3123</v>
      </c>
      <c r="R5" s="1" t="s">
        <v>2164</v>
      </c>
      <c r="S5" s="1">
        <v>8211113850</v>
      </c>
      <c r="T5" s="11" t="s">
        <v>3124</v>
      </c>
      <c r="U5" s="1">
        <v>8211113850</v>
      </c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1" t="s">
        <v>3785</v>
      </c>
      <c r="AJ5" s="17"/>
    </row>
    <row r="6" spans="1:36" x14ac:dyDescent="0.25">
      <c r="A6" s="1" t="s">
        <v>464</v>
      </c>
      <c r="B6" s="18" t="s">
        <v>3934</v>
      </c>
      <c r="C6" s="1" t="s">
        <v>2931</v>
      </c>
      <c r="D6" s="1" t="s">
        <v>3125</v>
      </c>
      <c r="E6" s="1" t="s">
        <v>3126</v>
      </c>
      <c r="F6" s="1" t="s">
        <v>4863</v>
      </c>
      <c r="G6" s="1" t="s">
        <v>4872</v>
      </c>
      <c r="H6" s="1" t="s">
        <v>4869</v>
      </c>
      <c r="I6" s="1" t="s">
        <v>2097</v>
      </c>
      <c r="J6" s="1" t="s">
        <v>4896</v>
      </c>
      <c r="K6" s="1" t="s">
        <v>4911</v>
      </c>
      <c r="L6" s="1" t="s">
        <v>3127</v>
      </c>
      <c r="M6" s="1">
        <v>8211185174</v>
      </c>
      <c r="N6" s="11" t="s">
        <v>3128</v>
      </c>
      <c r="O6" s="1">
        <v>8211185174</v>
      </c>
      <c r="P6" s="9"/>
      <c r="Q6" s="1" t="s">
        <v>3126</v>
      </c>
      <c r="R6" s="1" t="s">
        <v>3127</v>
      </c>
      <c r="S6" s="1">
        <v>8211185174</v>
      </c>
      <c r="T6" s="11" t="s">
        <v>3128</v>
      </c>
      <c r="U6" s="1">
        <v>8211185174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3786</v>
      </c>
      <c r="AJ6" s="17"/>
    </row>
    <row r="7" spans="1:36" x14ac:dyDescent="0.25">
      <c r="A7" s="1" t="s">
        <v>465</v>
      </c>
      <c r="B7" s="18" t="s">
        <v>3932</v>
      </c>
      <c r="C7" s="1" t="s">
        <v>3284</v>
      </c>
      <c r="D7" s="1" t="s">
        <v>3552</v>
      </c>
      <c r="E7" s="1" t="s">
        <v>3553</v>
      </c>
      <c r="F7" s="1" t="s">
        <v>4867</v>
      </c>
      <c r="G7" s="1" t="s">
        <v>4875</v>
      </c>
      <c r="H7" s="1" t="s">
        <v>4869</v>
      </c>
      <c r="I7" s="1" t="s">
        <v>5086</v>
      </c>
      <c r="J7" s="1" t="s">
        <v>4896</v>
      </c>
      <c r="K7" s="1" t="s">
        <v>4928</v>
      </c>
      <c r="L7" s="1" t="s">
        <v>3554</v>
      </c>
      <c r="M7" s="1">
        <v>8117601392</v>
      </c>
      <c r="N7" s="11" t="s">
        <v>3555</v>
      </c>
      <c r="O7" s="1">
        <v>8117601392</v>
      </c>
      <c r="P7" s="9"/>
      <c r="Q7" s="1" t="s">
        <v>3553</v>
      </c>
      <c r="R7" s="1" t="s">
        <v>3554</v>
      </c>
      <c r="S7" s="1">
        <v>8117601392</v>
      </c>
      <c r="T7" s="11" t="s">
        <v>3555</v>
      </c>
      <c r="U7" s="1">
        <v>8117601392</v>
      </c>
      <c r="V7" s="9"/>
      <c r="W7" s="1"/>
      <c r="X7" s="1"/>
      <c r="Y7" s="1"/>
      <c r="Z7" s="11"/>
      <c r="AA7" s="1"/>
      <c r="AB7" s="9"/>
      <c r="AC7" s="1"/>
      <c r="AD7" s="1"/>
      <c r="AE7" s="1"/>
      <c r="AF7" s="1"/>
      <c r="AG7" s="1"/>
      <c r="AI7" s="11" t="s">
        <v>3556</v>
      </c>
    </row>
    <row r="8" spans="1:36" x14ac:dyDescent="0.25">
      <c r="A8" s="1" t="s">
        <v>466</v>
      </c>
      <c r="B8" s="18" t="s">
        <v>3931</v>
      </c>
      <c r="C8" s="1" t="s">
        <v>3482</v>
      </c>
      <c r="D8" s="1" t="s">
        <v>3557</v>
      </c>
      <c r="E8" s="1" t="s">
        <v>3558</v>
      </c>
      <c r="F8" s="1" t="s">
        <v>4865</v>
      </c>
      <c r="G8" s="1" t="s">
        <v>4875</v>
      </c>
      <c r="H8" s="1" t="s">
        <v>4869</v>
      </c>
      <c r="I8" s="1" t="s">
        <v>5080</v>
      </c>
      <c r="J8" s="1" t="s">
        <v>4896</v>
      </c>
      <c r="K8" s="1" t="s">
        <v>4911</v>
      </c>
      <c r="L8" s="1" t="s">
        <v>3559</v>
      </c>
      <c r="M8" s="1">
        <v>8111336611</v>
      </c>
      <c r="N8" s="11" t="s">
        <v>3560</v>
      </c>
      <c r="O8" s="1">
        <v>8120774355</v>
      </c>
      <c r="P8" s="9"/>
      <c r="Q8" s="1" t="s">
        <v>3558</v>
      </c>
      <c r="R8" s="1" t="s">
        <v>3559</v>
      </c>
      <c r="S8" s="1">
        <v>8111336611</v>
      </c>
      <c r="T8" s="11" t="s">
        <v>3561</v>
      </c>
      <c r="U8" s="1">
        <v>8120774355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3562</v>
      </c>
    </row>
    <row r="9" spans="1:36" x14ac:dyDescent="0.25">
      <c r="A9" s="1" t="s">
        <v>467</v>
      </c>
      <c r="B9" s="18" t="s">
        <v>3933</v>
      </c>
      <c r="C9" s="1" t="s">
        <v>3449</v>
      </c>
      <c r="D9" s="1" t="s">
        <v>3567</v>
      </c>
      <c r="E9" s="1" t="s">
        <v>3568</v>
      </c>
      <c r="F9" s="1" t="s">
        <v>4867</v>
      </c>
      <c r="G9" s="1" t="s">
        <v>4875</v>
      </c>
      <c r="H9" s="1" t="s">
        <v>4869</v>
      </c>
      <c r="I9" s="1" t="s">
        <v>5087</v>
      </c>
      <c r="J9" s="1" t="s">
        <v>4896</v>
      </c>
      <c r="K9" s="1" t="s">
        <v>4924</v>
      </c>
      <c r="L9" s="1" t="s">
        <v>1511</v>
      </c>
      <c r="M9" s="1">
        <v>8120398776</v>
      </c>
      <c r="N9" s="11" t="s">
        <v>3569</v>
      </c>
      <c r="O9" s="1">
        <v>8120398776</v>
      </c>
      <c r="P9" s="9"/>
      <c r="Q9" s="1" t="s">
        <v>3568</v>
      </c>
      <c r="R9" s="1" t="s">
        <v>1511</v>
      </c>
      <c r="S9" s="1">
        <v>8120398776</v>
      </c>
      <c r="T9" s="11" t="s">
        <v>3569</v>
      </c>
      <c r="U9" s="1">
        <v>8120398776</v>
      </c>
      <c r="V9" s="9"/>
      <c r="W9" s="1" t="s">
        <v>3570</v>
      </c>
      <c r="X9" s="1" t="s">
        <v>3571</v>
      </c>
      <c r="Y9" s="1">
        <v>8110160973</v>
      </c>
      <c r="Z9" s="11" t="s">
        <v>3572</v>
      </c>
      <c r="AA9" s="1">
        <v>8110160973</v>
      </c>
      <c r="AB9" s="9"/>
      <c r="AC9" s="1" t="s">
        <v>3573</v>
      </c>
      <c r="AD9" s="1" t="s">
        <v>1453</v>
      </c>
      <c r="AE9" s="1">
        <v>8110161514</v>
      </c>
      <c r="AF9" s="11" t="s">
        <v>3574</v>
      </c>
      <c r="AG9" s="1">
        <v>8110161514</v>
      </c>
      <c r="AI9" s="11" t="s">
        <v>3575</v>
      </c>
    </row>
    <row r="10" spans="1:36" x14ac:dyDescent="0.25">
      <c r="A10" s="1" t="s">
        <v>468</v>
      </c>
      <c r="B10" s="18" t="s">
        <v>4961</v>
      </c>
      <c r="C10" s="1" t="s">
        <v>4735</v>
      </c>
      <c r="D10" s="1" t="s">
        <v>4734</v>
      </c>
      <c r="E10" s="1" t="s">
        <v>4736</v>
      </c>
      <c r="F10" s="1" t="s">
        <v>4863</v>
      </c>
      <c r="G10" s="1" t="s">
        <v>4872</v>
      </c>
      <c r="H10" s="1" t="s">
        <v>4869</v>
      </c>
      <c r="I10" s="1" t="s">
        <v>2097</v>
      </c>
      <c r="J10" s="1" t="s">
        <v>4896</v>
      </c>
      <c r="K10" s="1" t="s">
        <v>4911</v>
      </c>
      <c r="L10" s="1" t="s">
        <v>2351</v>
      </c>
      <c r="M10" s="1">
        <v>8212125595</v>
      </c>
      <c r="N10" s="11" t="s">
        <v>4737</v>
      </c>
      <c r="O10" s="1">
        <v>8211029004</v>
      </c>
      <c r="P10" s="9"/>
      <c r="Q10" s="1" t="s">
        <v>4736</v>
      </c>
      <c r="R10" s="1" t="s">
        <v>2351</v>
      </c>
      <c r="S10" s="1">
        <v>8212125595</v>
      </c>
      <c r="T10" s="11" t="s">
        <v>4737</v>
      </c>
      <c r="U10" s="1">
        <v>8211029004</v>
      </c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1" t="s">
        <v>4738</v>
      </c>
    </row>
    <row r="11" spans="1:36" x14ac:dyDescent="0.25">
      <c r="A11" s="1" t="s">
        <v>469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6" x14ac:dyDescent="0.25">
      <c r="A12" s="1" t="s">
        <v>470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6" x14ac:dyDescent="0.25">
      <c r="A13" s="1" t="s">
        <v>471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6" x14ac:dyDescent="0.25">
      <c r="A14" s="1" t="s">
        <v>472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6" x14ac:dyDescent="0.25">
      <c r="A15" s="1" t="s">
        <v>473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6" x14ac:dyDescent="0.25">
      <c r="A16" s="1" t="s">
        <v>474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475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476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477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478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479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480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481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482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483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484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485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486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487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488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489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490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491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492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493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494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495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496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497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498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499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500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501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502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503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504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505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506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507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508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509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SUBTOTAL(103,Tabla14[ARCHIVO])</f>
        <v>9</v>
      </c>
    </row>
  </sheetData>
  <hyperlinks>
    <hyperlink ref="N2" r:id="rId1" xr:uid="{00000000-0004-0000-0A00-000000000000}"/>
    <hyperlink ref="T2" r:id="rId2" xr:uid="{00000000-0004-0000-0A00-000001000000}"/>
    <hyperlink ref="AI2" r:id="rId3" xr:uid="{00000000-0004-0000-0A00-000002000000}"/>
    <hyperlink ref="N3" r:id="rId4" xr:uid="{00000000-0004-0000-0A00-000003000000}"/>
    <hyperlink ref="T4" r:id="rId5" xr:uid="{00000000-0004-0000-0A00-000004000000}"/>
    <hyperlink ref="Z4" r:id="rId6" xr:uid="{00000000-0004-0000-0A00-000005000000}"/>
    <hyperlink ref="AF4" r:id="rId7" xr:uid="{00000000-0004-0000-0A00-000006000000}"/>
    <hyperlink ref="N5" r:id="rId8" xr:uid="{00000000-0004-0000-0A00-000007000000}"/>
    <hyperlink ref="T5" r:id="rId9" xr:uid="{00000000-0004-0000-0A00-000008000000}"/>
    <hyperlink ref="N6" r:id="rId10" xr:uid="{00000000-0004-0000-0A00-000009000000}"/>
    <hyperlink ref="T6" r:id="rId11" xr:uid="{00000000-0004-0000-0A00-00000A000000}"/>
    <hyperlink ref="N7" r:id="rId12" xr:uid="{00000000-0004-0000-0A00-00000B000000}"/>
    <hyperlink ref="AI7" r:id="rId13" xr:uid="{00000000-0004-0000-0A00-00000C000000}"/>
    <hyperlink ref="N8" r:id="rId14" xr:uid="{00000000-0004-0000-0A00-00000D000000}"/>
    <hyperlink ref="T8" r:id="rId15" xr:uid="{00000000-0004-0000-0A00-00000E000000}"/>
    <hyperlink ref="AI8" r:id="rId16" xr:uid="{00000000-0004-0000-0A00-00000F000000}"/>
    <hyperlink ref="N9" r:id="rId17" xr:uid="{00000000-0004-0000-0A00-000010000000}"/>
    <hyperlink ref="T9" r:id="rId18" xr:uid="{00000000-0004-0000-0A00-000011000000}"/>
    <hyperlink ref="Z9" r:id="rId19" xr:uid="{00000000-0004-0000-0A00-000012000000}"/>
    <hyperlink ref="AF9" r:id="rId20" xr:uid="{00000000-0004-0000-0A00-000013000000}"/>
    <hyperlink ref="AI9" r:id="rId21" xr:uid="{00000000-0004-0000-0A00-000014000000}"/>
    <hyperlink ref="AI3" r:id="rId22" xr:uid="{00000000-0004-0000-0A00-000015000000}"/>
    <hyperlink ref="AI4" r:id="rId23" xr:uid="{00000000-0004-0000-0A00-000016000000}"/>
    <hyperlink ref="AI5" r:id="rId24" xr:uid="{00000000-0004-0000-0A00-000017000000}"/>
    <hyperlink ref="AI6" r:id="rId25" xr:uid="{00000000-0004-0000-0A00-000018000000}"/>
    <hyperlink ref="T3" r:id="rId26" xr:uid="{00000000-0004-0000-0A00-000019000000}"/>
    <hyperlink ref="N10" r:id="rId27" xr:uid="{00000000-0004-0000-0A00-00001A000000}"/>
    <hyperlink ref="T10" r:id="rId28" xr:uid="{00000000-0004-0000-0A00-00001B000000}"/>
    <hyperlink ref="AI10" r:id="rId29" xr:uid="{00000000-0004-0000-0A00-00001C000000}"/>
  </hyperlinks>
  <pageMargins left="0.7" right="0.7" top="0.75" bottom="0.75" header="0.3" footer="0.3"/>
  <pageSetup paperSize="9" orientation="portrait" r:id="rId30"/>
  <tableParts count="1">
    <tablePart r:id="rId3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A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A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A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A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52"/>
  <sheetViews>
    <sheetView topLeftCell="AI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18.85546875" bestFit="1" customWidth="1"/>
    <col min="4" max="4" width="32.42578125" customWidth="1"/>
    <col min="5" max="5" width="55.42578125" customWidth="1"/>
    <col min="6" max="6" width="27.28515625" customWidth="1"/>
    <col min="7" max="7" width="23.140625" bestFit="1" customWidth="1"/>
    <col min="8" max="11" width="13.5703125" customWidth="1"/>
    <col min="12" max="12" width="28.85546875" customWidth="1"/>
    <col min="13" max="13" width="30.28515625" customWidth="1"/>
    <col min="14" max="14" width="31" bestFit="1" customWidth="1"/>
    <col min="15" max="15" width="12.28515625" bestFit="1" customWidth="1"/>
    <col min="16" max="16" width="11" customWidth="1"/>
    <col min="17" max="17" width="43.42578125" customWidth="1"/>
    <col min="18" max="18" width="37.5703125" customWidth="1"/>
    <col min="19" max="19" width="31.28515625" customWidth="1"/>
    <col min="20" max="20" width="28.5703125" bestFit="1" customWidth="1"/>
    <col min="21" max="21" width="19.28515625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8.85546875" bestFit="1" customWidth="1"/>
    <col min="27" max="27" width="19.5703125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0" customWidth="1"/>
    <col min="33" max="33" width="15" bestFit="1" customWidth="1"/>
    <col min="34" max="34" width="11.85546875" customWidth="1"/>
    <col min="35" max="35" width="60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510</v>
      </c>
      <c r="B2" s="18" t="s">
        <v>2876</v>
      </c>
      <c r="C2" s="1" t="s">
        <v>1566</v>
      </c>
      <c r="D2" s="1" t="s">
        <v>1565</v>
      </c>
      <c r="E2" s="1" t="s">
        <v>1567</v>
      </c>
      <c r="F2" s="1" t="s">
        <v>4867</v>
      </c>
      <c r="G2" s="1" t="s">
        <v>4875</v>
      </c>
      <c r="H2" s="1" t="s">
        <v>4869</v>
      </c>
      <c r="I2" s="1" t="s">
        <v>4921</v>
      </c>
      <c r="J2" s="1" t="s">
        <v>4896</v>
      </c>
      <c r="K2" s="1" t="s">
        <v>4952</v>
      </c>
      <c r="L2" s="1" t="s">
        <v>1568</v>
      </c>
      <c r="M2" s="1">
        <v>8159986447</v>
      </c>
      <c r="N2" s="11" t="s">
        <v>1569</v>
      </c>
      <c r="O2" s="1" t="s">
        <v>1483</v>
      </c>
      <c r="P2" s="9"/>
      <c r="Q2" s="1" t="s">
        <v>1570</v>
      </c>
      <c r="R2" s="1" t="s">
        <v>1571</v>
      </c>
      <c r="S2" s="1">
        <v>8131606366</v>
      </c>
      <c r="T2" s="11" t="s">
        <v>1572</v>
      </c>
      <c r="U2" s="1">
        <v>8131606366</v>
      </c>
      <c r="V2" s="9"/>
      <c r="W2" s="1" t="s">
        <v>1573</v>
      </c>
      <c r="X2" s="1" t="s">
        <v>1574</v>
      </c>
      <c r="Y2" s="1">
        <v>8159986444</v>
      </c>
      <c r="Z2" s="11" t="s">
        <v>1575</v>
      </c>
      <c r="AA2" s="1">
        <v>8116610358</v>
      </c>
      <c r="AB2" s="9"/>
      <c r="AC2" s="1" t="s">
        <v>1567</v>
      </c>
      <c r="AD2" s="1" t="s">
        <v>1568</v>
      </c>
      <c r="AE2" s="1">
        <v>8159986447</v>
      </c>
      <c r="AF2" s="11" t="s">
        <v>1569</v>
      </c>
      <c r="AG2" s="1" t="s">
        <v>1483</v>
      </c>
      <c r="AI2" s="11" t="s">
        <v>1576</v>
      </c>
    </row>
    <row r="3" spans="1:35" x14ac:dyDescent="0.25">
      <c r="A3" s="1" t="s">
        <v>511</v>
      </c>
      <c r="B3" s="1"/>
      <c r="C3" s="1" t="s">
        <v>3129</v>
      </c>
      <c r="D3" s="1" t="s">
        <v>3130</v>
      </c>
      <c r="E3" s="1" t="s">
        <v>3131</v>
      </c>
      <c r="F3" s="1" t="s">
        <v>4865</v>
      </c>
      <c r="G3" s="1" t="s">
        <v>4875</v>
      </c>
      <c r="H3" s="1" t="s">
        <v>4869</v>
      </c>
      <c r="I3" s="1" t="s">
        <v>5010</v>
      </c>
      <c r="J3" s="1" t="s">
        <v>4896</v>
      </c>
      <c r="K3" s="1" t="s">
        <v>4911</v>
      </c>
      <c r="L3" s="1" t="s">
        <v>3132</v>
      </c>
      <c r="M3" s="1">
        <v>5519519807</v>
      </c>
      <c r="N3" s="11" t="s">
        <v>3133</v>
      </c>
      <c r="O3" s="1" t="s">
        <v>1483</v>
      </c>
      <c r="P3" s="9"/>
      <c r="Q3" s="1" t="s">
        <v>3131</v>
      </c>
      <c r="R3" s="1" t="s">
        <v>3132</v>
      </c>
      <c r="S3" s="1">
        <v>5519519807</v>
      </c>
      <c r="T3" s="11" t="s">
        <v>3133</v>
      </c>
      <c r="U3" s="1" t="s">
        <v>1483</v>
      </c>
      <c r="V3" s="9"/>
      <c r="W3" s="1" t="s">
        <v>3134</v>
      </c>
      <c r="X3" s="1" t="s">
        <v>3135</v>
      </c>
      <c r="Y3" s="1">
        <v>8125711283</v>
      </c>
      <c r="Z3" s="11" t="s">
        <v>3136</v>
      </c>
      <c r="AA3" s="1" t="s">
        <v>1483</v>
      </c>
      <c r="AB3" s="9"/>
      <c r="AC3" s="1"/>
      <c r="AD3" s="1"/>
      <c r="AE3" s="1"/>
      <c r="AF3" s="1"/>
      <c r="AG3" s="1"/>
      <c r="AI3" s="11" t="s">
        <v>3787</v>
      </c>
    </row>
    <row r="4" spans="1:35" x14ac:dyDescent="0.25">
      <c r="A4" s="1" t="s">
        <v>512</v>
      </c>
      <c r="B4" s="1"/>
      <c r="C4" s="1" t="s">
        <v>3502</v>
      </c>
      <c r="D4" s="1" t="s">
        <v>3576</v>
      </c>
      <c r="E4" s="1" t="s">
        <v>3577</v>
      </c>
      <c r="F4" s="1" t="s">
        <v>4865</v>
      </c>
      <c r="G4" s="1" t="s">
        <v>4873</v>
      </c>
      <c r="H4" s="1" t="s">
        <v>4869</v>
      </c>
      <c r="I4" s="1" t="s">
        <v>4917</v>
      </c>
      <c r="J4" s="1" t="s">
        <v>4896</v>
      </c>
      <c r="K4" s="1" t="s">
        <v>4911</v>
      </c>
      <c r="L4" s="1" t="s">
        <v>1522</v>
      </c>
      <c r="M4" s="1" t="s">
        <v>1483</v>
      </c>
      <c r="N4" s="1" t="s">
        <v>1483</v>
      </c>
      <c r="O4" s="1" t="s">
        <v>1483</v>
      </c>
      <c r="P4" s="9"/>
      <c r="Q4" s="1" t="s">
        <v>3578</v>
      </c>
      <c r="R4" s="1" t="s">
        <v>3579</v>
      </c>
      <c r="S4" s="1">
        <v>8127316680</v>
      </c>
      <c r="T4" s="11" t="s">
        <v>3580</v>
      </c>
      <c r="U4" s="1">
        <v>8127316680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3581</v>
      </c>
    </row>
    <row r="5" spans="1:35" x14ac:dyDescent="0.25">
      <c r="A5" s="1" t="s">
        <v>513</v>
      </c>
      <c r="B5" s="18" t="s">
        <v>3936</v>
      </c>
      <c r="C5" s="1" t="s">
        <v>3182</v>
      </c>
      <c r="D5" s="1" t="s">
        <v>3839</v>
      </c>
      <c r="E5" s="1" t="s">
        <v>3840</v>
      </c>
      <c r="F5" s="1" t="s">
        <v>4867</v>
      </c>
      <c r="G5" s="1" t="s">
        <v>4875</v>
      </c>
      <c r="H5" s="1" t="s">
        <v>4869</v>
      </c>
      <c r="I5" s="1" t="s">
        <v>4917</v>
      </c>
      <c r="J5" s="1" t="s">
        <v>4896</v>
      </c>
      <c r="K5" s="1" t="s">
        <v>4924</v>
      </c>
      <c r="L5" s="1" t="s">
        <v>1522</v>
      </c>
      <c r="M5" s="1">
        <v>8182883550</v>
      </c>
      <c r="N5" s="1" t="s">
        <v>1483</v>
      </c>
      <c r="O5" s="1" t="s">
        <v>1483</v>
      </c>
      <c r="P5" s="9"/>
      <c r="Q5" s="1" t="s">
        <v>3841</v>
      </c>
      <c r="R5" s="1" t="s">
        <v>3842</v>
      </c>
      <c r="S5" s="1">
        <v>8182258820</v>
      </c>
      <c r="T5" s="11" t="s">
        <v>3843</v>
      </c>
      <c r="U5" s="1">
        <v>8182258820</v>
      </c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1" t="s">
        <v>3844</v>
      </c>
    </row>
    <row r="6" spans="1:35" x14ac:dyDescent="0.25">
      <c r="A6" s="1" t="s">
        <v>514</v>
      </c>
      <c r="B6" s="18" t="s">
        <v>4380</v>
      </c>
      <c r="C6" s="1" t="s">
        <v>4375</v>
      </c>
      <c r="D6" s="1" t="s">
        <v>4379</v>
      </c>
      <c r="E6" s="1" t="s">
        <v>4381</v>
      </c>
      <c r="F6" s="1" t="s">
        <v>4865</v>
      </c>
      <c r="G6" s="1" t="s">
        <v>4873</v>
      </c>
      <c r="H6" s="1" t="s">
        <v>4869</v>
      </c>
      <c r="I6" s="1" t="s">
        <v>4926</v>
      </c>
      <c r="J6" s="1" t="s">
        <v>4896</v>
      </c>
      <c r="K6" s="1" t="s">
        <v>4911</v>
      </c>
      <c r="L6" s="1" t="s">
        <v>1615</v>
      </c>
      <c r="M6" s="1">
        <v>8261065141</v>
      </c>
      <c r="N6" s="11" t="s">
        <v>4382</v>
      </c>
      <c r="O6" s="35">
        <v>8261065141</v>
      </c>
      <c r="P6" s="9"/>
      <c r="Q6" s="1" t="s">
        <v>4383</v>
      </c>
      <c r="R6" s="1" t="s">
        <v>1522</v>
      </c>
      <c r="S6" s="1">
        <v>8262615231</v>
      </c>
      <c r="T6" s="11" t="s">
        <v>4384</v>
      </c>
      <c r="U6" s="1">
        <v>8262615231</v>
      </c>
      <c r="V6" s="9"/>
      <c r="W6" s="1" t="s">
        <v>4381</v>
      </c>
      <c r="X6" s="1" t="s">
        <v>1615</v>
      </c>
      <c r="Y6" s="1">
        <v>8261065141</v>
      </c>
      <c r="Z6" s="11" t="s">
        <v>4382</v>
      </c>
      <c r="AA6" s="35">
        <v>8261065141</v>
      </c>
      <c r="AB6" s="9"/>
      <c r="AC6" s="1" t="s">
        <v>4385</v>
      </c>
      <c r="AD6" s="1" t="s">
        <v>4386</v>
      </c>
      <c r="AE6" s="1">
        <v>8261276098</v>
      </c>
      <c r="AF6" s="11" t="s">
        <v>4387</v>
      </c>
      <c r="AG6" s="35">
        <v>8261276098</v>
      </c>
      <c r="AI6" s="11" t="s">
        <v>4388</v>
      </c>
    </row>
    <row r="7" spans="1:35" x14ac:dyDescent="0.25">
      <c r="A7" s="1" t="s">
        <v>515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516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517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518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519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520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521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522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523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524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525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526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527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528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529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530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531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532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533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534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535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536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537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538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539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540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541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542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543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544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545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546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547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548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549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550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551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552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553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554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555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556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557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558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559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SUBTOTAL(103,Tabla15[ARCHIVO])</f>
        <v>5</v>
      </c>
    </row>
  </sheetData>
  <hyperlinks>
    <hyperlink ref="N2" r:id="rId1" xr:uid="{00000000-0004-0000-0B00-000000000000}"/>
    <hyperlink ref="T2" r:id="rId2" xr:uid="{00000000-0004-0000-0B00-000001000000}"/>
    <hyperlink ref="Z2" r:id="rId3" xr:uid="{00000000-0004-0000-0B00-000002000000}"/>
    <hyperlink ref="AF2" r:id="rId4" xr:uid="{00000000-0004-0000-0B00-000003000000}"/>
    <hyperlink ref="AI2" r:id="rId5" xr:uid="{00000000-0004-0000-0B00-000004000000}"/>
    <hyperlink ref="N3" r:id="rId6" xr:uid="{00000000-0004-0000-0B00-000005000000}"/>
    <hyperlink ref="T3" r:id="rId7" xr:uid="{00000000-0004-0000-0B00-000006000000}"/>
    <hyperlink ref="Z3" r:id="rId8" xr:uid="{00000000-0004-0000-0B00-000007000000}"/>
    <hyperlink ref="T4" r:id="rId9" xr:uid="{00000000-0004-0000-0B00-000008000000}"/>
    <hyperlink ref="AI4" r:id="rId10" xr:uid="{00000000-0004-0000-0B00-000009000000}"/>
    <hyperlink ref="AI3" r:id="rId11" xr:uid="{00000000-0004-0000-0B00-00000A000000}"/>
    <hyperlink ref="T5" r:id="rId12" xr:uid="{00000000-0004-0000-0B00-00000B000000}"/>
    <hyperlink ref="AI5" r:id="rId13" xr:uid="{00000000-0004-0000-0B00-00000C000000}"/>
    <hyperlink ref="N6" r:id="rId14" xr:uid="{00000000-0004-0000-0B00-00000D000000}"/>
    <hyperlink ref="T6" r:id="rId15" xr:uid="{00000000-0004-0000-0B00-00000E000000}"/>
    <hyperlink ref="Z6" r:id="rId16" xr:uid="{00000000-0004-0000-0B00-00000F000000}"/>
    <hyperlink ref="AF6" r:id="rId17" xr:uid="{00000000-0004-0000-0B00-000010000000}"/>
    <hyperlink ref="AI6" r:id="rId18" xr:uid="{00000000-0004-0000-0B00-000011000000}"/>
  </hyperlinks>
  <pageMargins left="0.7" right="0.7" top="0.75" bottom="0.75" header="0.3" footer="0.3"/>
  <pageSetup paperSize="9" orientation="portrait" r:id="rId19"/>
  <tableParts count="1">
    <tablePart r:id="rId20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B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0B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B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B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52"/>
  <sheetViews>
    <sheetView topLeftCell="AA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42578125" bestFit="1" customWidth="1"/>
    <col min="4" max="4" width="64.7109375" customWidth="1"/>
    <col min="5" max="5" width="55.42578125" customWidth="1"/>
    <col min="6" max="6" width="27.28515625" customWidth="1"/>
    <col min="7" max="7" width="22.85546875" customWidth="1"/>
    <col min="8" max="8" width="13.5703125" customWidth="1"/>
    <col min="9" max="9" width="18" customWidth="1"/>
    <col min="10" max="10" width="13.5703125" customWidth="1"/>
    <col min="11" max="11" width="16.85546875" bestFit="1" customWidth="1"/>
    <col min="12" max="12" width="35.28515625" bestFit="1" customWidth="1"/>
    <col min="13" max="13" width="30.28515625" customWidth="1"/>
    <col min="14" max="14" width="30.140625" bestFit="1" customWidth="1"/>
    <col min="15" max="15" width="15" customWidth="1"/>
    <col min="16" max="16" width="11" customWidth="1"/>
    <col min="17" max="17" width="43.42578125" customWidth="1"/>
    <col min="18" max="18" width="30.85546875" customWidth="1"/>
    <col min="19" max="19" width="31.28515625" customWidth="1"/>
    <col min="20" max="20" width="30.140625" bestFit="1" customWidth="1"/>
    <col min="21" max="21" width="14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2.85546875" customWidth="1"/>
    <col min="27" max="27" width="19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8.85546875" customWidth="1"/>
    <col min="33" max="33" width="15.7109375" customWidth="1"/>
    <col min="34" max="34" width="11.85546875" customWidth="1"/>
    <col min="35" max="35" width="85.71093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560</v>
      </c>
      <c r="B2" s="18" t="s">
        <v>2877</v>
      </c>
      <c r="C2" s="1" t="s">
        <v>1506</v>
      </c>
      <c r="D2" s="1" t="s">
        <v>1577</v>
      </c>
      <c r="E2" s="1" t="s">
        <v>1578</v>
      </c>
      <c r="F2" s="1" t="s">
        <v>4864</v>
      </c>
      <c r="G2" s="1" t="s">
        <v>4875</v>
      </c>
      <c r="H2" s="1" t="s">
        <v>4869</v>
      </c>
      <c r="I2" s="1" t="s">
        <v>4923</v>
      </c>
      <c r="J2" s="1" t="s">
        <v>4896</v>
      </c>
      <c r="K2" s="1" t="s">
        <v>4924</v>
      </c>
      <c r="L2" s="1" t="s">
        <v>1579</v>
      </c>
      <c r="M2" s="1">
        <v>8180884644</v>
      </c>
      <c r="N2" s="11" t="s">
        <v>1580</v>
      </c>
      <c r="O2" s="1">
        <v>8180884644</v>
      </c>
      <c r="P2" s="9"/>
      <c r="Q2" s="1" t="s">
        <v>1578</v>
      </c>
      <c r="R2" s="1" t="s">
        <v>1579</v>
      </c>
      <c r="S2" s="1">
        <v>8180884644</v>
      </c>
      <c r="T2" s="11" t="s">
        <v>1580</v>
      </c>
      <c r="U2" s="1">
        <v>8180884644</v>
      </c>
      <c r="V2" s="9"/>
      <c r="W2" s="1"/>
      <c r="X2" s="1"/>
      <c r="Y2" s="1"/>
      <c r="Z2" s="11"/>
      <c r="AA2" s="1"/>
      <c r="AB2" s="9"/>
      <c r="AC2" s="1"/>
      <c r="AD2" s="1"/>
      <c r="AE2" s="1"/>
      <c r="AF2" s="1"/>
      <c r="AG2" s="1"/>
      <c r="AI2" s="11" t="s">
        <v>1581</v>
      </c>
    </row>
    <row r="3" spans="1:35" x14ac:dyDescent="0.25">
      <c r="A3" s="1" t="s">
        <v>561</v>
      </c>
      <c r="B3" s="18" t="s">
        <v>2878</v>
      </c>
      <c r="C3" s="1" t="s">
        <v>1776</v>
      </c>
      <c r="D3" s="1" t="s">
        <v>1790</v>
      </c>
      <c r="E3" s="1" t="s">
        <v>1791</v>
      </c>
      <c r="F3" s="1" t="s">
        <v>4865</v>
      </c>
      <c r="G3" s="1" t="s">
        <v>4874</v>
      </c>
      <c r="H3" s="1" t="s">
        <v>4869</v>
      </c>
      <c r="I3" s="1" t="s">
        <v>4951</v>
      </c>
      <c r="J3" s="1" t="s">
        <v>4896</v>
      </c>
      <c r="K3" s="1" t="s">
        <v>4911</v>
      </c>
      <c r="L3" s="1" t="s">
        <v>1792</v>
      </c>
      <c r="M3" s="1" t="s">
        <v>1793</v>
      </c>
      <c r="N3" s="11" t="s">
        <v>1794</v>
      </c>
      <c r="O3" s="1">
        <v>8111838789</v>
      </c>
      <c r="P3" s="9"/>
      <c r="Q3" s="1" t="s">
        <v>1791</v>
      </c>
      <c r="R3" s="1" t="s">
        <v>1792</v>
      </c>
      <c r="S3" s="1" t="s">
        <v>1793</v>
      </c>
      <c r="T3" s="11" t="s">
        <v>1794</v>
      </c>
      <c r="U3" s="1">
        <v>8111838789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3788</v>
      </c>
    </row>
    <row r="4" spans="1:35" x14ac:dyDescent="0.25">
      <c r="A4" s="1" t="s">
        <v>562</v>
      </c>
      <c r="B4" s="1"/>
      <c r="C4" s="1" t="s">
        <v>3137</v>
      </c>
      <c r="D4" s="1" t="s">
        <v>4037</v>
      </c>
      <c r="E4" s="1" t="s">
        <v>3138</v>
      </c>
      <c r="F4" s="1" t="s">
        <v>4863</v>
      </c>
      <c r="G4" s="1" t="s">
        <v>4872</v>
      </c>
      <c r="H4" s="1" t="s">
        <v>4869</v>
      </c>
      <c r="I4" s="1" t="s">
        <v>4933</v>
      </c>
      <c r="J4" s="1" t="s">
        <v>4896</v>
      </c>
      <c r="K4" s="1" t="s">
        <v>4911</v>
      </c>
      <c r="L4" s="1" t="s">
        <v>1483</v>
      </c>
      <c r="M4" s="1" t="s">
        <v>1483</v>
      </c>
      <c r="N4" s="1" t="s">
        <v>1483</v>
      </c>
      <c r="O4" s="1" t="s">
        <v>1483</v>
      </c>
      <c r="P4" s="9"/>
      <c r="Q4" s="1" t="s">
        <v>3139</v>
      </c>
      <c r="R4" s="1" t="s">
        <v>1368</v>
      </c>
      <c r="S4" s="1">
        <v>8211452802</v>
      </c>
      <c r="T4" s="11" t="s">
        <v>3140</v>
      </c>
      <c r="U4" s="1">
        <v>8211452802</v>
      </c>
      <c r="V4" s="9"/>
      <c r="W4" s="1" t="s">
        <v>3141</v>
      </c>
      <c r="X4" s="1" t="s">
        <v>3142</v>
      </c>
      <c r="Y4" s="1">
        <v>8212196179</v>
      </c>
      <c r="Z4" s="11" t="s">
        <v>3143</v>
      </c>
      <c r="AA4" s="1">
        <v>8212196174</v>
      </c>
      <c r="AB4" s="9"/>
      <c r="AC4" s="1" t="s">
        <v>3144</v>
      </c>
      <c r="AD4" s="1" t="s">
        <v>3145</v>
      </c>
      <c r="AE4" s="1">
        <v>8211426222</v>
      </c>
      <c r="AF4" s="11" t="s">
        <v>3146</v>
      </c>
      <c r="AG4" s="1">
        <v>8211426222</v>
      </c>
      <c r="AI4" s="11" t="s">
        <v>4048</v>
      </c>
    </row>
    <row r="5" spans="1:35" x14ac:dyDescent="0.25">
      <c r="A5" s="1" t="s">
        <v>563</v>
      </c>
      <c r="B5" s="1"/>
      <c r="C5" s="1" t="s">
        <v>2013</v>
      </c>
      <c r="D5" s="1" t="s">
        <v>3147</v>
      </c>
      <c r="E5" s="1" t="s">
        <v>3148</v>
      </c>
      <c r="F5" s="1" t="s">
        <v>4865</v>
      </c>
      <c r="G5" s="1" t="s">
        <v>4875</v>
      </c>
      <c r="H5" s="1" t="s">
        <v>4869</v>
      </c>
      <c r="I5" s="1" t="s">
        <v>5063</v>
      </c>
      <c r="J5" s="1" t="s">
        <v>4896</v>
      </c>
      <c r="K5" s="1" t="s">
        <v>4911</v>
      </c>
      <c r="L5" s="1" t="s">
        <v>1483</v>
      </c>
      <c r="M5" s="1" t="s">
        <v>1483</v>
      </c>
      <c r="N5" s="1" t="s">
        <v>1483</v>
      </c>
      <c r="O5" s="1" t="s">
        <v>1483</v>
      </c>
      <c r="P5" s="9"/>
      <c r="Q5" s="1" t="s">
        <v>3149</v>
      </c>
      <c r="R5" s="1" t="s">
        <v>3150</v>
      </c>
      <c r="S5" s="1">
        <v>8117912059</v>
      </c>
      <c r="T5" s="11" t="s">
        <v>3151</v>
      </c>
      <c r="U5" s="1">
        <v>8117912059</v>
      </c>
      <c r="V5" s="9"/>
      <c r="W5" s="1" t="s">
        <v>3152</v>
      </c>
      <c r="X5" s="1" t="s">
        <v>3153</v>
      </c>
      <c r="Y5" s="1">
        <v>8122029179</v>
      </c>
      <c r="Z5" s="11" t="s">
        <v>3154</v>
      </c>
      <c r="AA5" s="1">
        <v>8122029179</v>
      </c>
      <c r="AB5" s="9"/>
      <c r="AC5" s="1"/>
      <c r="AD5" s="1"/>
      <c r="AE5" s="1"/>
      <c r="AF5" s="1"/>
      <c r="AG5" s="1"/>
      <c r="AI5" s="11" t="s">
        <v>3789</v>
      </c>
    </row>
    <row r="6" spans="1:35" x14ac:dyDescent="0.25">
      <c r="A6" s="1" t="s">
        <v>564</v>
      </c>
      <c r="B6" s="18" t="s">
        <v>3938</v>
      </c>
      <c r="C6" s="1" t="s">
        <v>1991</v>
      </c>
      <c r="D6" s="1" t="s">
        <v>3155</v>
      </c>
      <c r="E6" s="1" t="s">
        <v>3158</v>
      </c>
      <c r="F6" s="1" t="s">
        <v>4863</v>
      </c>
      <c r="G6" s="1" t="s">
        <v>4873</v>
      </c>
      <c r="H6" s="1" t="s">
        <v>4869</v>
      </c>
      <c r="I6" s="1" t="s">
        <v>4933</v>
      </c>
      <c r="J6" s="1" t="s">
        <v>4896</v>
      </c>
      <c r="K6" s="1" t="s">
        <v>4914</v>
      </c>
      <c r="L6" s="1" t="s">
        <v>2000</v>
      </c>
      <c r="M6" s="1">
        <v>8181410940</v>
      </c>
      <c r="N6" s="11" t="s">
        <v>3159</v>
      </c>
      <c r="O6" s="1" t="s">
        <v>1483</v>
      </c>
      <c r="P6" s="9"/>
      <c r="Q6" s="1" t="s">
        <v>3156</v>
      </c>
      <c r="R6" s="1" t="s">
        <v>2000</v>
      </c>
      <c r="S6" s="1">
        <v>8181410940</v>
      </c>
      <c r="T6" s="11" t="s">
        <v>3157</v>
      </c>
      <c r="U6" s="1" t="s">
        <v>1483</v>
      </c>
      <c r="V6" s="9"/>
      <c r="W6" s="1" t="s">
        <v>3158</v>
      </c>
      <c r="X6" s="1" t="s">
        <v>2000</v>
      </c>
      <c r="Y6" s="1">
        <v>8181410940</v>
      </c>
      <c r="Z6" s="11" t="s">
        <v>3159</v>
      </c>
      <c r="AA6" s="1" t="s">
        <v>1483</v>
      </c>
      <c r="AB6" s="9"/>
      <c r="AC6" s="1"/>
      <c r="AD6" s="1"/>
      <c r="AE6" s="1"/>
      <c r="AF6" s="1"/>
      <c r="AG6" s="1"/>
      <c r="AI6" s="11" t="s">
        <v>3790</v>
      </c>
    </row>
    <row r="7" spans="1:35" x14ac:dyDescent="0.25">
      <c r="A7" s="1" t="s">
        <v>565</v>
      </c>
      <c r="B7" s="18" t="s">
        <v>3937</v>
      </c>
      <c r="C7" s="1" t="s">
        <v>3161</v>
      </c>
      <c r="D7" s="1" t="s">
        <v>3160</v>
      </c>
      <c r="E7" s="1" t="s">
        <v>3162</v>
      </c>
      <c r="F7" s="1" t="s">
        <v>4865</v>
      </c>
      <c r="G7" s="1" t="s">
        <v>4874</v>
      </c>
      <c r="H7" s="1" t="s">
        <v>4869</v>
      </c>
      <c r="I7" s="1" t="s">
        <v>4918</v>
      </c>
      <c r="J7" s="1" t="s">
        <v>4896</v>
      </c>
      <c r="K7" s="1" t="s">
        <v>4911</v>
      </c>
      <c r="L7" s="1" t="s">
        <v>3163</v>
      </c>
      <c r="M7" s="1">
        <v>8116900923</v>
      </c>
      <c r="N7" s="11" t="s">
        <v>3164</v>
      </c>
      <c r="O7" s="1">
        <v>8116900923</v>
      </c>
      <c r="P7" s="9"/>
      <c r="Q7" s="1" t="s">
        <v>3162</v>
      </c>
      <c r="R7" s="1" t="s">
        <v>3163</v>
      </c>
      <c r="S7" s="1">
        <v>8116900923</v>
      </c>
      <c r="T7" s="11" t="s">
        <v>3164</v>
      </c>
      <c r="U7" s="1">
        <v>8116900923</v>
      </c>
      <c r="V7" s="9"/>
      <c r="W7" s="1" t="s">
        <v>3165</v>
      </c>
      <c r="X7" s="1" t="s">
        <v>1869</v>
      </c>
      <c r="Y7" s="1">
        <v>8123551446</v>
      </c>
      <c r="Z7" s="11" t="s">
        <v>3166</v>
      </c>
      <c r="AA7" s="1">
        <v>8116900923</v>
      </c>
      <c r="AB7" s="9"/>
      <c r="AC7" s="1"/>
      <c r="AD7" s="1"/>
      <c r="AE7" s="1"/>
      <c r="AF7" s="1"/>
      <c r="AG7" s="1"/>
      <c r="AI7" s="11" t="s">
        <v>3791</v>
      </c>
    </row>
    <row r="8" spans="1:35" x14ac:dyDescent="0.25">
      <c r="A8" s="1" t="s">
        <v>566</v>
      </c>
      <c r="B8" s="1"/>
      <c r="C8" s="1" t="s">
        <v>4073</v>
      </c>
      <c r="D8" s="1" t="s">
        <v>4233</v>
      </c>
      <c r="E8" s="1" t="s">
        <v>4234</v>
      </c>
      <c r="F8" s="1" t="s">
        <v>4863</v>
      </c>
      <c r="G8" s="1" t="s">
        <v>4872</v>
      </c>
      <c r="H8" s="1" t="s">
        <v>4869</v>
      </c>
      <c r="I8" s="1" t="s">
        <v>5001</v>
      </c>
      <c r="J8" s="1" t="s">
        <v>4896</v>
      </c>
      <c r="K8" s="1" t="s">
        <v>4911</v>
      </c>
      <c r="L8" s="1" t="s">
        <v>1483</v>
      </c>
      <c r="M8" s="1" t="s">
        <v>1483</v>
      </c>
      <c r="N8" s="1" t="s">
        <v>1483</v>
      </c>
      <c r="O8" s="1" t="s">
        <v>1483</v>
      </c>
      <c r="P8" s="9"/>
      <c r="Q8" s="1" t="s">
        <v>4235</v>
      </c>
      <c r="R8" s="1" t="s">
        <v>4236</v>
      </c>
      <c r="S8" s="1">
        <v>8119054836</v>
      </c>
      <c r="T8" s="11" t="s">
        <v>4237</v>
      </c>
      <c r="U8" s="1">
        <v>8119054836</v>
      </c>
      <c r="V8" s="9"/>
      <c r="W8" s="1" t="s">
        <v>4238</v>
      </c>
      <c r="X8" s="1" t="s">
        <v>1925</v>
      </c>
      <c r="Y8" s="1">
        <v>8116836642</v>
      </c>
      <c r="Z8" s="11" t="s">
        <v>4239</v>
      </c>
      <c r="AA8" s="1">
        <v>8116836642</v>
      </c>
      <c r="AB8" s="9"/>
      <c r="AC8" s="1" t="s">
        <v>4240</v>
      </c>
      <c r="AD8" s="1" t="s">
        <v>1511</v>
      </c>
      <c r="AE8" s="1">
        <v>8186890745</v>
      </c>
      <c r="AF8" s="11" t="s">
        <v>4241</v>
      </c>
      <c r="AG8" s="1">
        <v>8186890745</v>
      </c>
      <c r="AI8" s="11" t="s">
        <v>4242</v>
      </c>
    </row>
    <row r="9" spans="1:35" x14ac:dyDescent="0.25">
      <c r="A9" s="1" t="s">
        <v>567</v>
      </c>
      <c r="B9" s="1"/>
      <c r="C9" s="1" t="s">
        <v>4716</v>
      </c>
      <c r="D9" s="1" t="s">
        <v>4739</v>
      </c>
      <c r="E9" s="1" t="s">
        <v>4740</v>
      </c>
      <c r="F9" s="1" t="s">
        <v>4863</v>
      </c>
      <c r="G9" s="1" t="s">
        <v>4874</v>
      </c>
      <c r="H9" s="1" t="s">
        <v>4869</v>
      </c>
      <c r="I9" s="1" t="s">
        <v>4925</v>
      </c>
      <c r="J9" s="1" t="s">
        <v>4896</v>
      </c>
      <c r="K9" s="1" t="s">
        <v>4911</v>
      </c>
      <c r="L9" s="1" t="s">
        <v>1453</v>
      </c>
      <c r="M9" s="1">
        <v>8211418158</v>
      </c>
      <c r="N9" s="11" t="s">
        <v>4741</v>
      </c>
      <c r="O9" s="1">
        <v>8211418158</v>
      </c>
      <c r="P9" s="9"/>
      <c r="Q9" s="1" t="s">
        <v>4740</v>
      </c>
      <c r="R9" s="1" t="s">
        <v>1453</v>
      </c>
      <c r="S9" s="1">
        <v>8211418158</v>
      </c>
      <c r="T9" s="11" t="s">
        <v>4741</v>
      </c>
      <c r="U9" s="1">
        <v>8211418158</v>
      </c>
      <c r="V9" s="9"/>
      <c r="W9" s="1" t="s">
        <v>4742</v>
      </c>
      <c r="X9" s="1" t="s">
        <v>4247</v>
      </c>
      <c r="Y9" s="1">
        <v>8211043577</v>
      </c>
      <c r="Z9" s="11" t="s">
        <v>4743</v>
      </c>
      <c r="AA9" s="1">
        <v>8211043577</v>
      </c>
      <c r="AB9" s="9"/>
      <c r="AC9" s="1" t="s">
        <v>4744</v>
      </c>
      <c r="AD9" s="1" t="s">
        <v>4745</v>
      </c>
      <c r="AE9" s="1">
        <v>8211467659</v>
      </c>
      <c r="AF9" s="11" t="s">
        <v>4746</v>
      </c>
      <c r="AG9" s="1">
        <v>8211467659</v>
      </c>
      <c r="AI9" s="11" t="s">
        <v>4747</v>
      </c>
    </row>
    <row r="10" spans="1:35" x14ac:dyDescent="0.25">
      <c r="A10" s="1" t="s">
        <v>568</v>
      </c>
      <c r="B10" s="1"/>
      <c r="C10" s="1" t="s">
        <v>3734</v>
      </c>
      <c r="D10" s="1" t="s">
        <v>4748</v>
      </c>
      <c r="E10" s="1" t="s">
        <v>1398</v>
      </c>
      <c r="F10" s="1" t="s">
        <v>4865</v>
      </c>
      <c r="G10" s="1" t="s">
        <v>4874</v>
      </c>
      <c r="H10" s="1" t="s">
        <v>4869</v>
      </c>
      <c r="I10" s="1" t="s">
        <v>4949</v>
      </c>
      <c r="J10" s="1" t="s">
        <v>4896</v>
      </c>
      <c r="K10" s="1" t="s">
        <v>4911</v>
      </c>
      <c r="L10" s="1" t="s">
        <v>1398</v>
      </c>
      <c r="M10" s="1" t="s">
        <v>1398</v>
      </c>
      <c r="N10" s="1" t="s">
        <v>1398</v>
      </c>
      <c r="O10" s="1" t="s">
        <v>1398</v>
      </c>
      <c r="P10" s="9"/>
      <c r="Q10" s="1" t="s">
        <v>4749</v>
      </c>
      <c r="R10" s="1" t="s">
        <v>4750</v>
      </c>
      <c r="S10" s="1">
        <v>8183472165</v>
      </c>
      <c r="T10" s="11" t="s">
        <v>4751</v>
      </c>
      <c r="U10" s="1" t="s">
        <v>1398</v>
      </c>
      <c r="V10" s="9"/>
      <c r="W10" s="1" t="s">
        <v>4752</v>
      </c>
      <c r="X10" s="13" t="s">
        <v>1511</v>
      </c>
      <c r="Y10" s="1">
        <v>8183472165</v>
      </c>
      <c r="Z10" s="11" t="s">
        <v>4753</v>
      </c>
      <c r="AA10" s="1" t="s">
        <v>1398</v>
      </c>
      <c r="AB10" s="9"/>
      <c r="AC10" s="1" t="s">
        <v>4754</v>
      </c>
      <c r="AD10" s="1" t="s">
        <v>1511</v>
      </c>
      <c r="AE10" s="1">
        <v>8183472165</v>
      </c>
      <c r="AF10" s="11" t="s">
        <v>4755</v>
      </c>
      <c r="AG10" s="1" t="s">
        <v>1398</v>
      </c>
      <c r="AI10" s="11" t="s">
        <v>4756</v>
      </c>
    </row>
    <row r="11" spans="1:35" x14ac:dyDescent="0.25">
      <c r="A11" s="1" t="s">
        <v>569</v>
      </c>
      <c r="B11" s="1"/>
      <c r="C11" s="1" t="s">
        <v>4490</v>
      </c>
      <c r="D11" s="1" t="s">
        <v>4757</v>
      </c>
      <c r="E11" s="1" t="s">
        <v>2117</v>
      </c>
      <c r="F11" s="1" t="s">
        <v>4863</v>
      </c>
      <c r="G11" s="1" t="s">
        <v>4872</v>
      </c>
      <c r="H11" s="1" t="s">
        <v>4869</v>
      </c>
      <c r="I11" s="1" t="s">
        <v>4933</v>
      </c>
      <c r="J11" s="1" t="s">
        <v>4896</v>
      </c>
      <c r="K11" s="1" t="s">
        <v>4911</v>
      </c>
      <c r="L11" s="1" t="s">
        <v>1482</v>
      </c>
      <c r="M11" s="1">
        <v>8241051731</v>
      </c>
      <c r="N11" s="11" t="s">
        <v>2118</v>
      </c>
      <c r="O11" s="1">
        <v>8241051731</v>
      </c>
      <c r="P11" s="9"/>
      <c r="Q11" s="1" t="s">
        <v>4758</v>
      </c>
      <c r="R11" s="1" t="s">
        <v>4371</v>
      </c>
      <c r="S11" s="1">
        <v>8241073171</v>
      </c>
      <c r="T11" s="11" t="s">
        <v>4759</v>
      </c>
      <c r="U11" s="1">
        <v>8241073171</v>
      </c>
      <c r="V11" s="9"/>
      <c r="W11" s="1" t="s">
        <v>4760</v>
      </c>
      <c r="X11" s="1" t="s">
        <v>4371</v>
      </c>
      <c r="Y11" s="1">
        <v>8241123466</v>
      </c>
      <c r="Z11" s="11" t="s">
        <v>4761</v>
      </c>
      <c r="AA11" s="1">
        <v>8241123466</v>
      </c>
      <c r="AB11" s="9"/>
      <c r="AC11" s="1" t="s">
        <v>2117</v>
      </c>
      <c r="AD11" s="1" t="s">
        <v>1482</v>
      </c>
      <c r="AE11" s="1">
        <v>8241051731</v>
      </c>
      <c r="AF11" s="11" t="s">
        <v>2118</v>
      </c>
      <c r="AG11" s="1">
        <v>8241051731</v>
      </c>
      <c r="AI11" s="11" t="s">
        <v>4762</v>
      </c>
    </row>
    <row r="12" spans="1:35" x14ac:dyDescent="0.25">
      <c r="A12" s="1" t="s">
        <v>570</v>
      </c>
      <c r="B12" s="18" t="s">
        <v>4991</v>
      </c>
      <c r="C12" s="1" t="s">
        <v>4375</v>
      </c>
      <c r="D12" s="1" t="s">
        <v>4990</v>
      </c>
      <c r="E12" s="1" t="s">
        <v>4992</v>
      </c>
      <c r="F12" s="1" t="s">
        <v>4867</v>
      </c>
      <c r="G12" s="1" t="s">
        <v>4875</v>
      </c>
      <c r="H12" s="1" t="s">
        <v>4869</v>
      </c>
      <c r="I12" s="1" t="s">
        <v>4918</v>
      </c>
      <c r="J12" s="1" t="s">
        <v>4896</v>
      </c>
      <c r="K12" s="1" t="s">
        <v>4941</v>
      </c>
      <c r="L12" s="1" t="s">
        <v>4993</v>
      </c>
      <c r="M12" s="1" t="s">
        <v>1483</v>
      </c>
      <c r="N12" s="1" t="s">
        <v>1483</v>
      </c>
      <c r="O12" s="1" t="s">
        <v>1483</v>
      </c>
      <c r="P12" s="9"/>
      <c r="Q12" s="1" t="s">
        <v>4994</v>
      </c>
      <c r="R12" s="1" t="s">
        <v>4995</v>
      </c>
      <c r="S12" s="1">
        <v>8183663785</v>
      </c>
      <c r="T12" s="11" t="s">
        <v>4996</v>
      </c>
      <c r="U12" s="1">
        <v>8183663785</v>
      </c>
      <c r="V12" s="9"/>
      <c r="W12" s="1" t="s">
        <v>4997</v>
      </c>
      <c r="X12" s="1" t="s">
        <v>4995</v>
      </c>
      <c r="Y12" s="1">
        <v>8123193898</v>
      </c>
      <c r="Z12" s="11" t="s">
        <v>4998</v>
      </c>
      <c r="AA12" s="1">
        <v>8123193898</v>
      </c>
      <c r="AB12" s="9"/>
      <c r="AC12" s="1"/>
      <c r="AD12" s="1"/>
      <c r="AE12" s="1"/>
      <c r="AF12" s="1"/>
      <c r="AG12" s="1"/>
      <c r="AI12" s="11" t="s">
        <v>4999</v>
      </c>
    </row>
    <row r="13" spans="1:35" x14ac:dyDescent="0.25">
      <c r="A13" s="1" t="s">
        <v>571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572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573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574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575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576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577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578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579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580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581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582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583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584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585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586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587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588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589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590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591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592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593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594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595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596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597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598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599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600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601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602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603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604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605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606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607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608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609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SUBTOTAL(103,Tabla16[ARCHIVO])</f>
        <v>11</v>
      </c>
    </row>
  </sheetData>
  <hyperlinks>
    <hyperlink ref="N2" r:id="rId1" xr:uid="{00000000-0004-0000-0C00-000000000000}"/>
    <hyperlink ref="T2" r:id="rId2" xr:uid="{00000000-0004-0000-0C00-000001000000}"/>
    <hyperlink ref="N3" r:id="rId3" xr:uid="{00000000-0004-0000-0C00-000002000000}"/>
    <hyperlink ref="T3" r:id="rId4" xr:uid="{00000000-0004-0000-0C00-000003000000}"/>
    <hyperlink ref="T4" r:id="rId5" xr:uid="{00000000-0004-0000-0C00-000004000000}"/>
    <hyperlink ref="Z4" r:id="rId6" xr:uid="{00000000-0004-0000-0C00-000005000000}"/>
    <hyperlink ref="AF4" r:id="rId7" xr:uid="{00000000-0004-0000-0C00-000006000000}"/>
    <hyperlink ref="T5" r:id="rId8" xr:uid="{00000000-0004-0000-0C00-000007000000}"/>
    <hyperlink ref="Z5" r:id="rId9" xr:uid="{00000000-0004-0000-0C00-000008000000}"/>
    <hyperlink ref="T6" r:id="rId10" xr:uid="{00000000-0004-0000-0C00-000009000000}"/>
    <hyperlink ref="N6" r:id="rId11" xr:uid="{00000000-0004-0000-0C00-00000A000000}"/>
    <hyperlink ref="Z6" r:id="rId12" xr:uid="{00000000-0004-0000-0C00-00000B000000}"/>
    <hyperlink ref="N7" r:id="rId13" xr:uid="{00000000-0004-0000-0C00-00000C000000}"/>
    <hyperlink ref="Z7" r:id="rId14" xr:uid="{00000000-0004-0000-0C00-00000D000000}"/>
    <hyperlink ref="T7" r:id="rId15" xr:uid="{00000000-0004-0000-0C00-00000E000000}"/>
    <hyperlink ref="AI2" r:id="rId16" xr:uid="{00000000-0004-0000-0C00-00000F000000}"/>
    <hyperlink ref="AI3" r:id="rId17" xr:uid="{00000000-0004-0000-0C00-000010000000}"/>
    <hyperlink ref="AI5" r:id="rId18" xr:uid="{00000000-0004-0000-0C00-000011000000}"/>
    <hyperlink ref="AI6" r:id="rId19" xr:uid="{00000000-0004-0000-0C00-000012000000}"/>
    <hyperlink ref="AI7" r:id="rId20" xr:uid="{00000000-0004-0000-0C00-000013000000}"/>
    <hyperlink ref="AI4" r:id="rId21" xr:uid="{00000000-0004-0000-0C00-000014000000}"/>
    <hyperlink ref="T8" r:id="rId22" xr:uid="{00000000-0004-0000-0C00-000015000000}"/>
    <hyperlink ref="Z8" r:id="rId23" xr:uid="{00000000-0004-0000-0C00-000016000000}"/>
    <hyperlink ref="AF8" r:id="rId24" xr:uid="{00000000-0004-0000-0C00-000017000000}"/>
    <hyperlink ref="AI8" r:id="rId25" xr:uid="{00000000-0004-0000-0C00-000018000000}"/>
    <hyperlink ref="N9" r:id="rId26" xr:uid="{00000000-0004-0000-0C00-000019000000}"/>
    <hyperlink ref="T9" r:id="rId27" xr:uid="{00000000-0004-0000-0C00-00001A000000}"/>
    <hyperlink ref="Z9" r:id="rId28" xr:uid="{00000000-0004-0000-0C00-00001B000000}"/>
    <hyperlink ref="AF9" r:id="rId29" xr:uid="{00000000-0004-0000-0C00-00001C000000}"/>
    <hyperlink ref="AI9" r:id="rId30" xr:uid="{00000000-0004-0000-0C00-00001D000000}"/>
    <hyperlink ref="T10" r:id="rId31" xr:uid="{00000000-0004-0000-0C00-00001E000000}"/>
    <hyperlink ref="Z10" r:id="rId32" xr:uid="{00000000-0004-0000-0C00-00001F000000}"/>
    <hyperlink ref="AF10" r:id="rId33" xr:uid="{00000000-0004-0000-0C00-000020000000}"/>
    <hyperlink ref="AI10" r:id="rId34" xr:uid="{00000000-0004-0000-0C00-000021000000}"/>
    <hyperlink ref="N11" r:id="rId35" xr:uid="{00000000-0004-0000-0C00-000022000000}"/>
    <hyperlink ref="T11" r:id="rId36" xr:uid="{00000000-0004-0000-0C00-000023000000}"/>
    <hyperlink ref="Z11" r:id="rId37" xr:uid="{00000000-0004-0000-0C00-000024000000}"/>
    <hyperlink ref="AF11" r:id="rId38" xr:uid="{00000000-0004-0000-0C00-000025000000}"/>
    <hyperlink ref="AI11" r:id="rId39" xr:uid="{00000000-0004-0000-0C00-000026000000}"/>
    <hyperlink ref="T12" r:id="rId40" xr:uid="{00000000-0004-0000-0C00-000027000000}"/>
    <hyperlink ref="Z12" r:id="rId41" xr:uid="{00000000-0004-0000-0C00-000028000000}"/>
    <hyperlink ref="AI12" r:id="rId42" xr:uid="{00000000-0004-0000-0C00-000029000000}"/>
  </hyperlinks>
  <pageMargins left="0.7" right="0.7" top="0.75" bottom="0.75" header="0.3" footer="0.3"/>
  <pageSetup paperSize="9" orientation="portrait" r:id="rId43"/>
  <tableParts count="1">
    <tablePart r:id="rId4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C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0C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C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C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2"/>
  <sheetViews>
    <sheetView topLeftCell="AA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6.42578125" bestFit="1" customWidth="1"/>
    <col min="4" max="4" width="64.28515625" customWidth="1"/>
    <col min="5" max="5" width="55.42578125" customWidth="1"/>
    <col min="6" max="6" width="27.28515625" customWidth="1"/>
    <col min="7" max="7" width="23.28515625" customWidth="1"/>
    <col min="8" max="8" width="13.5703125" customWidth="1"/>
    <col min="9" max="9" width="19.28515625" customWidth="1"/>
    <col min="10" max="10" width="13.5703125" customWidth="1"/>
    <col min="11" max="11" width="25.28515625" customWidth="1"/>
    <col min="12" max="12" width="41.140625" customWidth="1"/>
    <col min="13" max="13" width="30.28515625" customWidth="1"/>
    <col min="14" max="14" width="43.85546875" bestFit="1" customWidth="1"/>
    <col min="15" max="15" width="12" bestFit="1" customWidth="1"/>
    <col min="16" max="16" width="11" customWidth="1"/>
    <col min="17" max="17" width="43.42578125" customWidth="1"/>
    <col min="18" max="18" width="37.7109375" bestFit="1" customWidth="1"/>
    <col min="19" max="19" width="31.28515625" customWidth="1"/>
    <col min="20" max="20" width="38.5703125" bestFit="1" customWidth="1"/>
    <col min="21" max="21" width="12" bestFit="1" customWidth="1"/>
    <col min="22" max="22" width="11" customWidth="1"/>
    <col min="23" max="23" width="44.42578125" customWidth="1"/>
    <col min="24" max="24" width="34.85546875" customWidth="1"/>
    <col min="25" max="25" width="31.28515625" customWidth="1"/>
    <col min="26" max="26" width="37" customWidth="1"/>
    <col min="27" max="27" width="13" customWidth="1"/>
    <col min="28" max="28" width="11.85546875" customWidth="1"/>
    <col min="29" max="29" width="45.42578125" customWidth="1"/>
    <col min="30" max="30" width="38.140625" bestFit="1" customWidth="1"/>
    <col min="31" max="31" width="32.28515625" customWidth="1"/>
    <col min="32" max="32" width="36.5703125" bestFit="1" customWidth="1"/>
    <col min="33" max="33" width="13" customWidth="1"/>
    <col min="34" max="34" width="11.85546875" customWidth="1"/>
    <col min="35" max="35" width="91" bestFit="1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610</v>
      </c>
      <c r="B2" s="18" t="s">
        <v>3945</v>
      </c>
      <c r="C2" s="1" t="s">
        <v>1566</v>
      </c>
      <c r="D2" s="1" t="s">
        <v>1582</v>
      </c>
      <c r="E2" s="1" t="s">
        <v>1583</v>
      </c>
      <c r="F2" s="1" t="s">
        <v>4863</v>
      </c>
      <c r="G2" s="1" t="s">
        <v>4873</v>
      </c>
      <c r="H2" s="1" t="s">
        <v>4869</v>
      </c>
      <c r="I2" s="1" t="s">
        <v>4918</v>
      </c>
      <c r="J2" s="1" t="s">
        <v>4896</v>
      </c>
      <c r="K2" s="1" t="s">
        <v>4911</v>
      </c>
      <c r="L2" s="1" t="s">
        <v>1483</v>
      </c>
      <c r="M2" s="1" t="s">
        <v>1483</v>
      </c>
      <c r="N2" s="1" t="s">
        <v>1483</v>
      </c>
      <c r="O2" s="1" t="s">
        <v>1483</v>
      </c>
      <c r="P2" s="9"/>
      <c r="Q2" s="1" t="s">
        <v>1584</v>
      </c>
      <c r="R2" s="1" t="s">
        <v>1585</v>
      </c>
      <c r="S2" s="1">
        <v>8116119379</v>
      </c>
      <c r="T2" s="11" t="s">
        <v>1586</v>
      </c>
      <c r="U2" s="1">
        <v>8116119379</v>
      </c>
      <c r="V2" s="9"/>
      <c r="W2" s="1" t="s">
        <v>1587</v>
      </c>
      <c r="X2" s="1" t="s">
        <v>1588</v>
      </c>
      <c r="Y2" s="1">
        <v>8112084026</v>
      </c>
      <c r="Z2" s="11" t="s">
        <v>1589</v>
      </c>
      <c r="AA2" s="1">
        <v>8112084026</v>
      </c>
      <c r="AB2" s="9"/>
      <c r="AC2" s="1" t="s">
        <v>1590</v>
      </c>
      <c r="AD2" s="1" t="s">
        <v>1591</v>
      </c>
      <c r="AE2" s="1">
        <v>8123558118</v>
      </c>
      <c r="AF2" s="11" t="s">
        <v>1592</v>
      </c>
      <c r="AG2" s="1">
        <v>8123558118</v>
      </c>
      <c r="AI2" s="11" t="s">
        <v>1593</v>
      </c>
    </row>
    <row r="3" spans="1:35" x14ac:dyDescent="0.25">
      <c r="A3" s="1" t="s">
        <v>611</v>
      </c>
      <c r="B3" s="1"/>
      <c r="C3" s="1" t="s">
        <v>1991</v>
      </c>
      <c r="D3" s="1" t="s">
        <v>1987</v>
      </c>
      <c r="E3" s="1" t="s">
        <v>1988</v>
      </c>
      <c r="F3" s="1" t="s">
        <v>4865</v>
      </c>
      <c r="G3" s="1" t="s">
        <v>4874</v>
      </c>
      <c r="H3" s="1" t="s">
        <v>4869</v>
      </c>
      <c r="I3" s="1" t="s">
        <v>4920</v>
      </c>
      <c r="J3" s="1" t="s">
        <v>4896</v>
      </c>
      <c r="K3" s="1" t="s">
        <v>4911</v>
      </c>
      <c r="L3" s="1" t="s">
        <v>1989</v>
      </c>
      <c r="M3" s="1">
        <v>812248471</v>
      </c>
      <c r="N3" s="11" t="s">
        <v>1990</v>
      </c>
      <c r="O3" s="1">
        <v>812248471</v>
      </c>
      <c r="P3" s="9"/>
      <c r="Q3" s="1" t="s">
        <v>1988</v>
      </c>
      <c r="R3" s="1" t="s">
        <v>1989</v>
      </c>
      <c r="S3" s="1">
        <v>812248471</v>
      </c>
      <c r="T3" s="11" t="s">
        <v>1990</v>
      </c>
      <c r="U3" s="1">
        <v>812248471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1992</v>
      </c>
    </row>
    <row r="4" spans="1:35" x14ac:dyDescent="0.25">
      <c r="A4" s="1" t="s">
        <v>612</v>
      </c>
      <c r="B4" s="18" t="s">
        <v>2879</v>
      </c>
      <c r="C4" s="1" t="s">
        <v>1993</v>
      </c>
      <c r="D4" s="1" t="s">
        <v>2503</v>
      </c>
      <c r="E4" s="1" t="s">
        <v>1994</v>
      </c>
      <c r="F4" s="1" t="s">
        <v>4865</v>
      </c>
      <c r="G4" s="1" t="s">
        <v>4873</v>
      </c>
      <c r="H4" s="1" t="s">
        <v>4869</v>
      </c>
      <c r="I4" s="1" t="s">
        <v>4933</v>
      </c>
      <c r="J4" s="1" t="s">
        <v>4896</v>
      </c>
      <c r="K4" s="1" t="s">
        <v>4911</v>
      </c>
      <c r="L4" s="1" t="s">
        <v>1995</v>
      </c>
      <c r="M4" s="1">
        <v>8129233171</v>
      </c>
      <c r="N4" s="11" t="s">
        <v>1996</v>
      </c>
      <c r="O4" s="1">
        <v>8129233171</v>
      </c>
      <c r="P4" s="9"/>
      <c r="Q4" s="1" t="s">
        <v>1994</v>
      </c>
      <c r="R4" s="1" t="s">
        <v>1995</v>
      </c>
      <c r="S4" s="1">
        <v>8129233171</v>
      </c>
      <c r="T4" s="11" t="s">
        <v>1996</v>
      </c>
      <c r="U4" s="1">
        <v>8129233171</v>
      </c>
      <c r="V4" s="9"/>
      <c r="W4" s="1" t="s">
        <v>1997</v>
      </c>
      <c r="X4" s="1" t="s">
        <v>1511</v>
      </c>
      <c r="Y4" s="1">
        <v>8182539240</v>
      </c>
      <c r="Z4" s="11" t="s">
        <v>1998</v>
      </c>
      <c r="AA4" s="1">
        <v>8182539240</v>
      </c>
      <c r="AB4" s="9"/>
      <c r="AC4" s="1" t="s">
        <v>1999</v>
      </c>
      <c r="AD4" s="1" t="s">
        <v>2000</v>
      </c>
      <c r="AE4" s="1">
        <v>8135510661</v>
      </c>
      <c r="AF4" s="11" t="s">
        <v>2001</v>
      </c>
      <c r="AG4" s="1">
        <v>8110389240</v>
      </c>
      <c r="AI4" s="11" t="s">
        <v>2002</v>
      </c>
    </row>
    <row r="5" spans="1:35" x14ac:dyDescent="0.25">
      <c r="A5" s="1" t="s">
        <v>613</v>
      </c>
      <c r="B5" s="18" t="s">
        <v>2880</v>
      </c>
      <c r="C5" s="1" t="s">
        <v>2137</v>
      </c>
      <c r="D5" s="1" t="s">
        <v>2504</v>
      </c>
      <c r="E5" s="1" t="s">
        <v>2505</v>
      </c>
      <c r="F5" s="1" t="s">
        <v>4864</v>
      </c>
      <c r="G5" s="1" t="s">
        <v>4875</v>
      </c>
      <c r="H5" s="1" t="s">
        <v>4869</v>
      </c>
      <c r="I5" s="1" t="s">
        <v>4921</v>
      </c>
      <c r="J5" s="1" t="s">
        <v>4896</v>
      </c>
      <c r="K5" s="1" t="s">
        <v>4911</v>
      </c>
      <c r="L5" s="1" t="s">
        <v>2506</v>
      </c>
      <c r="M5" s="1" t="s">
        <v>1483</v>
      </c>
      <c r="N5" s="1" t="s">
        <v>1483</v>
      </c>
      <c r="O5" s="1" t="s">
        <v>1483</v>
      </c>
      <c r="P5" s="9"/>
      <c r="Q5" s="1" t="s">
        <v>2507</v>
      </c>
      <c r="R5" s="1" t="s">
        <v>2508</v>
      </c>
      <c r="S5" s="1">
        <v>8112533100</v>
      </c>
      <c r="T5" s="11" t="s">
        <v>2509</v>
      </c>
      <c r="U5" s="1">
        <v>8135814386</v>
      </c>
      <c r="V5" s="9"/>
      <c r="W5" s="1" t="s">
        <v>2510</v>
      </c>
      <c r="X5" s="1" t="s">
        <v>2511</v>
      </c>
      <c r="Y5" s="1">
        <v>8112533100</v>
      </c>
      <c r="Z5" s="11" t="s">
        <v>2512</v>
      </c>
      <c r="AA5" s="1">
        <v>8117077868</v>
      </c>
      <c r="AB5" s="9"/>
      <c r="AC5" s="1" t="s">
        <v>2513</v>
      </c>
      <c r="AD5" s="1" t="s">
        <v>2514</v>
      </c>
      <c r="AE5" s="1">
        <v>8112533100</v>
      </c>
      <c r="AF5" s="11" t="s">
        <v>2515</v>
      </c>
      <c r="AG5" s="1">
        <v>8123258019</v>
      </c>
      <c r="AI5" s="11" t="s">
        <v>2516</v>
      </c>
    </row>
    <row r="6" spans="1:35" x14ac:dyDescent="0.25">
      <c r="A6" s="1" t="s">
        <v>614</v>
      </c>
      <c r="B6" s="18" t="s">
        <v>2881</v>
      </c>
      <c r="C6" s="1" t="s">
        <v>2137</v>
      </c>
      <c r="D6" s="1" t="s">
        <v>2517</v>
      </c>
      <c r="E6" s="1" t="s">
        <v>2518</v>
      </c>
      <c r="F6" s="1" t="s">
        <v>4865</v>
      </c>
      <c r="G6" s="1" t="s">
        <v>4875</v>
      </c>
      <c r="H6" s="1" t="s">
        <v>4869</v>
      </c>
      <c r="I6" s="1" t="s">
        <v>4945</v>
      </c>
      <c r="J6" s="1" t="s">
        <v>4896</v>
      </c>
      <c r="K6" s="1" t="s">
        <v>4946</v>
      </c>
      <c r="L6" s="1" t="s">
        <v>2519</v>
      </c>
      <c r="M6" s="1">
        <v>8181312000</v>
      </c>
      <c r="N6" s="11" t="s">
        <v>2520</v>
      </c>
      <c r="O6" s="1">
        <v>8128607676</v>
      </c>
      <c r="P6" s="9"/>
      <c r="Q6" s="1" t="s">
        <v>2518</v>
      </c>
      <c r="R6" s="1" t="s">
        <v>2519</v>
      </c>
      <c r="S6" s="1">
        <v>8181312000</v>
      </c>
      <c r="T6" s="11" t="s">
        <v>2520</v>
      </c>
      <c r="U6" s="1">
        <v>8128607676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2521</v>
      </c>
    </row>
    <row r="7" spans="1:35" x14ac:dyDescent="0.25">
      <c r="A7" s="1" t="s">
        <v>615</v>
      </c>
      <c r="B7" s="18" t="s">
        <v>2882</v>
      </c>
      <c r="C7" s="1" t="s">
        <v>2259</v>
      </c>
      <c r="D7" s="31" t="s">
        <v>2522</v>
      </c>
      <c r="E7" s="1" t="s">
        <v>2523</v>
      </c>
      <c r="F7" s="1" t="s">
        <v>4864</v>
      </c>
      <c r="G7" s="1" t="s">
        <v>4875</v>
      </c>
      <c r="H7" s="1" t="s">
        <v>4869</v>
      </c>
      <c r="I7" s="1" t="s">
        <v>4921</v>
      </c>
      <c r="J7" s="1" t="s">
        <v>4896</v>
      </c>
      <c r="K7" s="1" t="s">
        <v>4924</v>
      </c>
      <c r="L7" s="1" t="s">
        <v>2524</v>
      </c>
      <c r="M7" s="1">
        <v>8117416586</v>
      </c>
      <c r="N7" s="11" t="s">
        <v>2525</v>
      </c>
      <c r="O7" s="1">
        <v>8117416586</v>
      </c>
      <c r="P7" s="9"/>
      <c r="Q7" s="1" t="s">
        <v>2523</v>
      </c>
      <c r="R7" s="1" t="s">
        <v>2524</v>
      </c>
      <c r="S7" s="1">
        <v>8117416586</v>
      </c>
      <c r="T7" s="11" t="s">
        <v>2525</v>
      </c>
      <c r="U7" s="1">
        <v>8117416586</v>
      </c>
      <c r="V7" s="9"/>
      <c r="W7" s="1" t="s">
        <v>2526</v>
      </c>
      <c r="X7" s="1" t="s">
        <v>2527</v>
      </c>
      <c r="Y7" s="1">
        <v>8117416586</v>
      </c>
      <c r="Z7" s="11" t="s">
        <v>2528</v>
      </c>
      <c r="AA7" s="1">
        <v>8117416586</v>
      </c>
      <c r="AB7" s="9"/>
      <c r="AC7" s="1"/>
      <c r="AD7" s="1"/>
      <c r="AE7" s="1"/>
      <c r="AF7" s="1"/>
      <c r="AG7" s="1"/>
      <c r="AI7" s="11" t="s">
        <v>2529</v>
      </c>
    </row>
    <row r="8" spans="1:35" x14ac:dyDescent="0.25">
      <c r="A8" s="1" t="s">
        <v>616</v>
      </c>
      <c r="B8" s="18" t="s">
        <v>2883</v>
      </c>
      <c r="C8" s="1" t="s">
        <v>2137</v>
      </c>
      <c r="D8" s="1" t="s">
        <v>2530</v>
      </c>
      <c r="E8" s="1" t="s">
        <v>2531</v>
      </c>
      <c r="F8" s="1" t="s">
        <v>4864</v>
      </c>
      <c r="G8" s="1" t="s">
        <v>4874</v>
      </c>
      <c r="H8" s="1" t="s">
        <v>4869</v>
      </c>
      <c r="I8" s="1" t="s">
        <v>4947</v>
      </c>
      <c r="J8" s="1" t="s">
        <v>4896</v>
      </c>
      <c r="K8" s="1" t="s">
        <v>4911</v>
      </c>
      <c r="L8" s="1" t="s">
        <v>2532</v>
      </c>
      <c r="M8" s="1">
        <v>8123558341</v>
      </c>
      <c r="N8" s="11" t="s">
        <v>2533</v>
      </c>
      <c r="O8" s="1">
        <v>8123358341</v>
      </c>
      <c r="P8" s="9"/>
      <c r="Q8" s="1" t="s">
        <v>2531</v>
      </c>
      <c r="R8" s="1" t="s">
        <v>2532</v>
      </c>
      <c r="S8" s="1">
        <v>8123558341</v>
      </c>
      <c r="T8" s="11" t="s">
        <v>2533</v>
      </c>
      <c r="U8" s="1">
        <v>8123358341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2534</v>
      </c>
    </row>
    <row r="9" spans="1:35" x14ac:dyDescent="0.25">
      <c r="A9" s="1" t="s">
        <v>617</v>
      </c>
      <c r="B9" s="18" t="s">
        <v>2884</v>
      </c>
      <c r="C9" s="1" t="s">
        <v>2137</v>
      </c>
      <c r="D9" s="1" t="s">
        <v>2535</v>
      </c>
      <c r="E9" s="1" t="s">
        <v>2536</v>
      </c>
      <c r="F9" s="1" t="s">
        <v>4865</v>
      </c>
      <c r="G9" s="1" t="s">
        <v>4874</v>
      </c>
      <c r="H9" s="1" t="s">
        <v>4869</v>
      </c>
      <c r="I9" s="1" t="s">
        <v>4925</v>
      </c>
      <c r="J9" s="1" t="s">
        <v>4896</v>
      </c>
      <c r="K9" s="1" t="s">
        <v>4911</v>
      </c>
      <c r="L9" s="1" t="s">
        <v>2506</v>
      </c>
      <c r="M9" s="1">
        <v>8119161066</v>
      </c>
      <c r="N9" s="11" t="s">
        <v>2537</v>
      </c>
      <c r="O9" s="1">
        <v>8119161066</v>
      </c>
      <c r="P9" s="9"/>
      <c r="Q9" s="1" t="s">
        <v>2536</v>
      </c>
      <c r="R9" s="1" t="s">
        <v>2506</v>
      </c>
      <c r="S9" s="1">
        <v>8119161066</v>
      </c>
      <c r="T9" s="11" t="s">
        <v>2537</v>
      </c>
      <c r="U9" s="1">
        <v>8119161066</v>
      </c>
      <c r="V9" s="9"/>
      <c r="W9" s="1" t="s">
        <v>2538</v>
      </c>
      <c r="X9" s="1" t="s">
        <v>2539</v>
      </c>
      <c r="Y9" s="1">
        <v>8180657481</v>
      </c>
      <c r="Z9" s="11" t="s">
        <v>2540</v>
      </c>
      <c r="AA9" s="1">
        <v>8180657481</v>
      </c>
      <c r="AB9" s="9"/>
      <c r="AC9" s="1" t="s">
        <v>2541</v>
      </c>
      <c r="AD9" s="1" t="s">
        <v>2542</v>
      </c>
      <c r="AE9" s="1">
        <v>8133814163</v>
      </c>
      <c r="AF9" s="11" t="s">
        <v>2543</v>
      </c>
      <c r="AG9" s="1">
        <v>8133814163</v>
      </c>
      <c r="AI9" s="11" t="s">
        <v>2544</v>
      </c>
    </row>
    <row r="10" spans="1:35" x14ac:dyDescent="0.25">
      <c r="A10" s="1" t="s">
        <v>618</v>
      </c>
      <c r="B10" s="18" t="s">
        <v>3944</v>
      </c>
      <c r="C10" s="1" t="s">
        <v>1991</v>
      </c>
      <c r="D10" s="1" t="s">
        <v>2779</v>
      </c>
      <c r="E10" s="1" t="s">
        <v>2545</v>
      </c>
      <c r="F10" s="1" t="s">
        <v>4864</v>
      </c>
      <c r="G10" s="1" t="s">
        <v>4875</v>
      </c>
      <c r="H10" s="1" t="s">
        <v>4869</v>
      </c>
      <c r="I10" s="1" t="s">
        <v>4923</v>
      </c>
      <c r="J10" s="1" t="s">
        <v>4896</v>
      </c>
      <c r="K10" s="1" t="s">
        <v>4946</v>
      </c>
      <c r="L10" s="1" t="s">
        <v>2546</v>
      </c>
      <c r="M10" s="1" t="s">
        <v>2546</v>
      </c>
      <c r="N10" s="1" t="s">
        <v>2546</v>
      </c>
      <c r="O10" s="1" t="s">
        <v>2546</v>
      </c>
      <c r="P10" s="9"/>
      <c r="Q10" s="1" t="s">
        <v>2547</v>
      </c>
      <c r="R10" s="1" t="s">
        <v>2548</v>
      </c>
      <c r="S10" s="1">
        <v>8123195204</v>
      </c>
      <c r="T10" s="11" t="s">
        <v>2549</v>
      </c>
      <c r="U10" s="1">
        <v>8123195204</v>
      </c>
      <c r="V10" s="9"/>
      <c r="W10" s="1" t="s">
        <v>2550</v>
      </c>
      <c r="X10" s="1" t="s">
        <v>2551</v>
      </c>
      <c r="Y10" s="1">
        <v>8182207573</v>
      </c>
      <c r="Z10" s="11" t="s">
        <v>2552</v>
      </c>
      <c r="AA10" s="1">
        <v>8118239545</v>
      </c>
      <c r="AB10" s="9"/>
      <c r="AC10" s="1"/>
      <c r="AD10" s="1"/>
      <c r="AE10" s="1"/>
      <c r="AF10" s="1"/>
      <c r="AG10" s="1"/>
      <c r="AI10" s="11" t="s">
        <v>2553</v>
      </c>
    </row>
    <row r="11" spans="1:35" x14ac:dyDescent="0.25">
      <c r="A11" s="1" t="s">
        <v>619</v>
      </c>
      <c r="B11" s="18" t="s">
        <v>4005</v>
      </c>
      <c r="C11" s="1" t="s">
        <v>2264</v>
      </c>
      <c r="D11" s="1" t="s">
        <v>2554</v>
      </c>
      <c r="E11" s="1" t="s">
        <v>2555</v>
      </c>
      <c r="F11" s="1" t="s">
        <v>4863</v>
      </c>
      <c r="G11" s="1" t="s">
        <v>4873</v>
      </c>
      <c r="H11" s="1" t="s">
        <v>4869</v>
      </c>
      <c r="I11" s="1" t="s">
        <v>4933</v>
      </c>
      <c r="J11" s="1" t="s">
        <v>4896</v>
      </c>
      <c r="K11" s="1" t="s">
        <v>4911</v>
      </c>
      <c r="L11" s="1" t="s">
        <v>2468</v>
      </c>
      <c r="M11" s="1" t="s">
        <v>2468</v>
      </c>
      <c r="N11" s="1" t="s">
        <v>2468</v>
      </c>
      <c r="O11" s="1" t="s">
        <v>2468</v>
      </c>
      <c r="P11" s="9"/>
      <c r="Q11" s="1" t="s">
        <v>2556</v>
      </c>
      <c r="R11" s="1" t="s">
        <v>1368</v>
      </c>
      <c r="S11" s="1">
        <v>8123533365</v>
      </c>
      <c r="T11" s="11" t="s">
        <v>2557</v>
      </c>
      <c r="U11" s="1" t="s">
        <v>1483</v>
      </c>
      <c r="V11" s="9"/>
      <c r="W11" s="1" t="s">
        <v>2558</v>
      </c>
      <c r="X11" s="1" t="s">
        <v>2559</v>
      </c>
      <c r="Y11" s="1">
        <v>81195569281</v>
      </c>
      <c r="Z11" s="11" t="s">
        <v>2560</v>
      </c>
      <c r="AA11" s="1" t="s">
        <v>1483</v>
      </c>
      <c r="AB11" s="9"/>
      <c r="AC11" s="1"/>
      <c r="AD11" s="1"/>
      <c r="AE11" s="1"/>
      <c r="AF11" s="1"/>
      <c r="AG11" s="1"/>
      <c r="AI11" s="11" t="s">
        <v>2561</v>
      </c>
    </row>
    <row r="12" spans="1:35" x14ac:dyDescent="0.25">
      <c r="A12" s="1" t="s">
        <v>620</v>
      </c>
      <c r="B12" s="18" t="s">
        <v>2885</v>
      </c>
      <c r="C12" s="1" t="s">
        <v>2259</v>
      </c>
      <c r="D12" s="1" t="s">
        <v>2562</v>
      </c>
      <c r="E12" s="1" t="s">
        <v>2563</v>
      </c>
      <c r="F12" s="1" t="s">
        <v>4863</v>
      </c>
      <c r="G12" s="1" t="s">
        <v>4875</v>
      </c>
      <c r="H12" s="1" t="s">
        <v>4868</v>
      </c>
      <c r="I12" s="1" t="s">
        <v>4948</v>
      </c>
      <c r="J12" s="1" t="s">
        <v>4896</v>
      </c>
      <c r="K12" s="1" t="s">
        <v>4943</v>
      </c>
      <c r="L12" s="1" t="s">
        <v>2564</v>
      </c>
      <c r="M12" s="1" t="s">
        <v>2565</v>
      </c>
      <c r="N12" s="11" t="s">
        <v>2566</v>
      </c>
      <c r="O12" s="1">
        <v>8135888148</v>
      </c>
      <c r="P12" s="9"/>
      <c r="Q12" s="1" t="s">
        <v>2563</v>
      </c>
      <c r="R12" s="1" t="s">
        <v>2564</v>
      </c>
      <c r="S12" s="1" t="s">
        <v>2565</v>
      </c>
      <c r="T12" s="11" t="s">
        <v>2566</v>
      </c>
      <c r="U12" s="1">
        <v>8135888148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2574</v>
      </c>
    </row>
    <row r="13" spans="1:35" x14ac:dyDescent="0.25">
      <c r="A13" s="1" t="s">
        <v>621</v>
      </c>
      <c r="B13" s="18" t="s">
        <v>2886</v>
      </c>
      <c r="C13" s="1" t="s">
        <v>2137</v>
      </c>
      <c r="D13" s="1" t="s">
        <v>2567</v>
      </c>
      <c r="E13" s="1" t="s">
        <v>2568</v>
      </c>
      <c r="F13" s="1" t="s">
        <v>4863</v>
      </c>
      <c r="G13" s="1" t="s">
        <v>4875</v>
      </c>
      <c r="H13" s="1" t="s">
        <v>4868</v>
      </c>
      <c r="I13" s="1" t="s">
        <v>4948</v>
      </c>
      <c r="J13" s="1" t="s">
        <v>4896</v>
      </c>
      <c r="K13" s="1" t="s">
        <v>4911</v>
      </c>
      <c r="L13" s="1" t="s">
        <v>2569</v>
      </c>
      <c r="M13" s="1">
        <v>8138492635</v>
      </c>
      <c r="N13" s="11" t="s">
        <v>2570</v>
      </c>
      <c r="O13" s="1" t="s">
        <v>1483</v>
      </c>
      <c r="P13" s="9"/>
      <c r="Q13" s="1" t="s">
        <v>2568</v>
      </c>
      <c r="R13" s="1" t="s">
        <v>2569</v>
      </c>
      <c r="S13" s="1">
        <v>8138492635</v>
      </c>
      <c r="T13" s="11" t="s">
        <v>2570</v>
      </c>
      <c r="U13" s="1" t="s">
        <v>1483</v>
      </c>
      <c r="V13" s="9"/>
      <c r="W13" s="1" t="s">
        <v>2571</v>
      </c>
      <c r="X13" s="1" t="s">
        <v>2564</v>
      </c>
      <c r="Y13" s="1">
        <v>8138492635</v>
      </c>
      <c r="Z13" s="11" t="s">
        <v>2572</v>
      </c>
      <c r="AA13" s="1" t="s">
        <v>1483</v>
      </c>
      <c r="AB13" s="9"/>
      <c r="AC13" s="1"/>
      <c r="AD13" s="1"/>
      <c r="AE13" s="1"/>
      <c r="AF13" s="1"/>
      <c r="AG13" s="1"/>
      <c r="AI13" s="11" t="s">
        <v>2573</v>
      </c>
    </row>
    <row r="14" spans="1:35" x14ac:dyDescent="0.25">
      <c r="A14" s="1" t="s">
        <v>622</v>
      </c>
      <c r="B14" s="18" t="s">
        <v>3943</v>
      </c>
      <c r="C14" s="1" t="s">
        <v>2970</v>
      </c>
      <c r="D14" s="1" t="s">
        <v>3167</v>
      </c>
      <c r="E14" s="1" t="s">
        <v>3168</v>
      </c>
      <c r="F14" s="1" t="s">
        <v>4863</v>
      </c>
      <c r="G14" s="1" t="s">
        <v>4872</v>
      </c>
      <c r="H14" s="1" t="s">
        <v>4869</v>
      </c>
      <c r="I14" s="1" t="s">
        <v>4933</v>
      </c>
      <c r="J14" s="1" t="s">
        <v>4896</v>
      </c>
      <c r="K14" s="1" t="s">
        <v>4911</v>
      </c>
      <c r="L14" s="1" t="s">
        <v>3169</v>
      </c>
      <c r="M14" s="1">
        <v>8114756328</v>
      </c>
      <c r="N14" s="11" t="s">
        <v>3170</v>
      </c>
      <c r="O14" s="1">
        <v>8114756328</v>
      </c>
      <c r="P14" s="9"/>
      <c r="Q14" s="1" t="s">
        <v>3168</v>
      </c>
      <c r="R14" s="1" t="s">
        <v>3169</v>
      </c>
      <c r="S14" s="1">
        <v>8114756328</v>
      </c>
      <c r="T14" s="11" t="s">
        <v>3170</v>
      </c>
      <c r="U14" s="1">
        <v>8114756328</v>
      </c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1" t="s">
        <v>3792</v>
      </c>
    </row>
    <row r="15" spans="1:35" x14ac:dyDescent="0.25">
      <c r="A15" s="1" t="s">
        <v>623</v>
      </c>
      <c r="B15" s="18" t="s">
        <v>3942</v>
      </c>
      <c r="C15" s="1" t="s">
        <v>3182</v>
      </c>
      <c r="D15" s="1" t="s">
        <v>3183</v>
      </c>
      <c r="E15" s="1" t="s">
        <v>3184</v>
      </c>
      <c r="F15" s="1" t="s">
        <v>4867</v>
      </c>
      <c r="G15" s="1" t="s">
        <v>4875</v>
      </c>
      <c r="H15" s="1" t="s">
        <v>4869</v>
      </c>
      <c r="I15" s="1" t="s">
        <v>4923</v>
      </c>
      <c r="J15" s="1" t="s">
        <v>4896</v>
      </c>
      <c r="K15" s="1" t="s">
        <v>4924</v>
      </c>
      <c r="L15" s="1" t="s">
        <v>3185</v>
      </c>
      <c r="M15" s="1">
        <v>8115878564</v>
      </c>
      <c r="N15" s="11" t="s">
        <v>3186</v>
      </c>
      <c r="O15" s="1">
        <v>8115878564</v>
      </c>
      <c r="P15" s="9"/>
      <c r="Q15" s="1" t="s">
        <v>3184</v>
      </c>
      <c r="R15" s="1" t="s">
        <v>3185</v>
      </c>
      <c r="S15" s="1">
        <v>8115878564</v>
      </c>
      <c r="T15" s="11" t="s">
        <v>3186</v>
      </c>
      <c r="U15" s="1">
        <v>8115878564</v>
      </c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1" t="s">
        <v>3793</v>
      </c>
    </row>
    <row r="16" spans="1:35" x14ac:dyDescent="0.25">
      <c r="A16" s="1" t="s">
        <v>624</v>
      </c>
      <c r="B16" s="18" t="s">
        <v>3941</v>
      </c>
      <c r="C16" s="1" t="s">
        <v>3171</v>
      </c>
      <c r="D16" s="1" t="s">
        <v>3173</v>
      </c>
      <c r="E16" s="1" t="s">
        <v>3172</v>
      </c>
      <c r="F16" s="1" t="s">
        <v>4863</v>
      </c>
      <c r="G16" s="1" t="s">
        <v>4873</v>
      </c>
      <c r="H16" s="1" t="s">
        <v>4869</v>
      </c>
      <c r="I16" s="1" t="s">
        <v>5010</v>
      </c>
      <c r="J16" s="1" t="s">
        <v>4896</v>
      </c>
      <c r="K16" s="1" t="s">
        <v>4911</v>
      </c>
      <c r="L16" s="1" t="s">
        <v>3174</v>
      </c>
      <c r="M16" s="1">
        <v>8181617254</v>
      </c>
      <c r="N16" s="11" t="s">
        <v>3175</v>
      </c>
      <c r="O16" s="1">
        <v>8181617254</v>
      </c>
      <c r="P16" s="9"/>
      <c r="Q16" s="1" t="s">
        <v>3172</v>
      </c>
      <c r="R16" s="1" t="s">
        <v>3174</v>
      </c>
      <c r="S16" s="1">
        <v>8181617254</v>
      </c>
      <c r="T16" s="11" t="s">
        <v>3175</v>
      </c>
      <c r="U16" s="1">
        <v>8181617254</v>
      </c>
      <c r="V16" s="9"/>
      <c r="W16" s="1" t="s">
        <v>3176</v>
      </c>
      <c r="X16" s="1" t="s">
        <v>3177</v>
      </c>
      <c r="Y16" s="1">
        <v>8180775309</v>
      </c>
      <c r="Z16" s="11" t="s">
        <v>3178</v>
      </c>
      <c r="AA16" s="1">
        <v>8181617254</v>
      </c>
      <c r="AB16" s="9"/>
      <c r="AC16" s="1" t="s">
        <v>3179</v>
      </c>
      <c r="AD16" s="1" t="s">
        <v>3180</v>
      </c>
      <c r="AE16" s="1">
        <v>8180107902</v>
      </c>
      <c r="AF16" s="1" t="s">
        <v>3181</v>
      </c>
      <c r="AG16" s="1"/>
      <c r="AI16" s="11" t="s">
        <v>3187</v>
      </c>
    </row>
    <row r="17" spans="1:35" x14ac:dyDescent="0.25">
      <c r="A17" s="1" t="s">
        <v>625</v>
      </c>
      <c r="B17" s="18" t="s">
        <v>2885</v>
      </c>
      <c r="C17" s="1" t="s">
        <v>2259</v>
      </c>
      <c r="D17" s="1" t="s">
        <v>2562</v>
      </c>
      <c r="E17" s="1" t="s">
        <v>2563</v>
      </c>
      <c r="F17" s="1" t="s">
        <v>4863</v>
      </c>
      <c r="G17" s="1" t="s">
        <v>4875</v>
      </c>
      <c r="H17" s="1" t="s">
        <v>4868</v>
      </c>
      <c r="I17" s="1" t="s">
        <v>4948</v>
      </c>
      <c r="J17" s="1" t="s">
        <v>4896</v>
      </c>
      <c r="K17" s="1" t="s">
        <v>4943</v>
      </c>
      <c r="L17" s="1" t="s">
        <v>2564</v>
      </c>
      <c r="M17" s="1" t="s">
        <v>2565</v>
      </c>
      <c r="N17" s="11" t="s">
        <v>2566</v>
      </c>
      <c r="O17" s="1">
        <v>8135888148</v>
      </c>
      <c r="P17" s="9"/>
      <c r="Q17" s="1" t="s">
        <v>2563</v>
      </c>
      <c r="R17" s="1" t="s">
        <v>2564</v>
      </c>
      <c r="S17" s="1" t="s">
        <v>2565</v>
      </c>
      <c r="T17" s="11" t="s">
        <v>2566</v>
      </c>
      <c r="U17" s="1">
        <v>8135888148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3794</v>
      </c>
    </row>
    <row r="18" spans="1:35" x14ac:dyDescent="0.25">
      <c r="A18" s="1" t="s">
        <v>626</v>
      </c>
      <c r="B18" s="18" t="s">
        <v>3940</v>
      </c>
      <c r="C18" s="1" t="s">
        <v>3449</v>
      </c>
      <c r="D18" t="s">
        <v>3683</v>
      </c>
      <c r="E18" s="1" t="s">
        <v>3682</v>
      </c>
      <c r="F18" s="1" t="s">
        <v>4863</v>
      </c>
      <c r="G18" s="1" t="s">
        <v>4874</v>
      </c>
      <c r="H18" s="1" t="s">
        <v>4869</v>
      </c>
      <c r="I18" s="1" t="s">
        <v>5010</v>
      </c>
      <c r="J18" s="1" t="s">
        <v>4896</v>
      </c>
      <c r="K18" s="1" t="s">
        <v>4911</v>
      </c>
      <c r="L18" s="1" t="s">
        <v>1522</v>
      </c>
      <c r="M18" s="1">
        <v>8132515910</v>
      </c>
      <c r="N18" s="11" t="s">
        <v>3685</v>
      </c>
      <c r="O18" s="1">
        <v>8132515910</v>
      </c>
      <c r="P18" s="9"/>
      <c r="Q18" s="1" t="s">
        <v>3686</v>
      </c>
      <c r="R18" s="1" t="s">
        <v>1989</v>
      </c>
      <c r="S18" s="1">
        <v>8211219909</v>
      </c>
      <c r="T18" s="11" t="s">
        <v>3684</v>
      </c>
      <c r="U18" s="1">
        <v>8211219909</v>
      </c>
      <c r="V18" s="9"/>
      <c r="W18" s="1" t="s">
        <v>3682</v>
      </c>
      <c r="X18" s="1" t="s">
        <v>1522</v>
      </c>
      <c r="Y18" s="1">
        <v>8211219909</v>
      </c>
      <c r="Z18" s="11" t="s">
        <v>3684</v>
      </c>
      <c r="AA18" s="1">
        <v>8211219909</v>
      </c>
      <c r="AB18" s="9"/>
      <c r="AC18" s="1"/>
      <c r="AD18" s="1"/>
      <c r="AE18" s="1"/>
      <c r="AF18" s="1"/>
      <c r="AG18" s="1"/>
      <c r="AI18" s="11" t="s">
        <v>3687</v>
      </c>
    </row>
    <row r="19" spans="1:35" x14ac:dyDescent="0.25">
      <c r="A19" s="1" t="s">
        <v>627</v>
      </c>
      <c r="B19" s="1"/>
      <c r="C19" s="1" t="s">
        <v>3661</v>
      </c>
      <c r="D19" s="1" t="s">
        <v>3689</v>
      </c>
      <c r="E19" s="1" t="s">
        <v>3690</v>
      </c>
      <c r="F19" s="1" t="s">
        <v>4865</v>
      </c>
      <c r="G19" s="1" t="s">
        <v>4873</v>
      </c>
      <c r="H19" s="1" t="s">
        <v>4869</v>
      </c>
      <c r="I19" s="1" t="s">
        <v>4920</v>
      </c>
      <c r="J19" s="1" t="s">
        <v>4896</v>
      </c>
      <c r="K19" s="1" t="s">
        <v>4924</v>
      </c>
      <c r="L19" s="1" t="s">
        <v>3691</v>
      </c>
      <c r="M19" s="1">
        <v>8126571160</v>
      </c>
      <c r="N19" s="11" t="s">
        <v>3692</v>
      </c>
      <c r="O19" s="1">
        <v>8126571160</v>
      </c>
      <c r="P19" s="9"/>
      <c r="Q19" s="1" t="s">
        <v>3690</v>
      </c>
      <c r="R19" s="1" t="s">
        <v>3691</v>
      </c>
      <c r="S19" s="1">
        <v>8126571160</v>
      </c>
      <c r="T19" s="11" t="s">
        <v>3692</v>
      </c>
      <c r="U19" s="1">
        <v>8126571160</v>
      </c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1" t="s">
        <v>3693</v>
      </c>
    </row>
    <row r="20" spans="1:35" x14ac:dyDescent="0.25">
      <c r="A20" s="1" t="s">
        <v>628</v>
      </c>
      <c r="B20" s="18" t="s">
        <v>3939</v>
      </c>
      <c r="C20" s="1" t="s">
        <v>3894</v>
      </c>
      <c r="D20" s="1" t="s">
        <v>3893</v>
      </c>
      <c r="E20" s="1" t="s">
        <v>3895</v>
      </c>
      <c r="F20" s="1" t="s">
        <v>4867</v>
      </c>
      <c r="G20" s="1" t="s">
        <v>4875</v>
      </c>
      <c r="H20" s="1" t="s">
        <v>4869</v>
      </c>
      <c r="I20" s="1" t="s">
        <v>4951</v>
      </c>
      <c r="J20" s="1" t="s">
        <v>4896</v>
      </c>
      <c r="K20" s="1" t="s">
        <v>4924</v>
      </c>
      <c r="L20" s="1" t="s">
        <v>1461</v>
      </c>
      <c r="M20" s="1">
        <v>8117636670</v>
      </c>
      <c r="N20" s="11" t="s">
        <v>3896</v>
      </c>
      <c r="O20" s="1">
        <v>8117636670</v>
      </c>
      <c r="P20" s="9"/>
      <c r="Q20" s="1" t="s">
        <v>3895</v>
      </c>
      <c r="R20" s="1" t="s">
        <v>1461</v>
      </c>
      <c r="S20" s="1">
        <v>8117636670</v>
      </c>
      <c r="T20" s="11" t="s">
        <v>3896</v>
      </c>
      <c r="U20" s="1">
        <v>8117636670</v>
      </c>
      <c r="V20" s="9"/>
      <c r="W20" s="1" t="s">
        <v>3897</v>
      </c>
      <c r="X20" s="1" t="s">
        <v>3330</v>
      </c>
      <c r="Y20" s="1">
        <v>8123996248</v>
      </c>
      <c r="Z20" s="11" t="s">
        <v>3898</v>
      </c>
      <c r="AA20" s="1">
        <v>8123996248</v>
      </c>
      <c r="AB20" s="9"/>
      <c r="AC20" s="1" t="s">
        <v>3899</v>
      </c>
      <c r="AD20" s="1" t="s">
        <v>1762</v>
      </c>
      <c r="AE20" s="1">
        <v>7772861637</v>
      </c>
      <c r="AF20" s="11" t="s">
        <v>3900</v>
      </c>
      <c r="AG20" s="1">
        <v>7772861637</v>
      </c>
      <c r="AI20" s="11" t="s">
        <v>3901</v>
      </c>
    </row>
    <row r="21" spans="1:35" x14ac:dyDescent="0.25">
      <c r="A21" s="1" t="s">
        <v>629</v>
      </c>
      <c r="B21" s="1" t="s">
        <v>4143</v>
      </c>
      <c r="C21" s="1" t="s">
        <v>4073</v>
      </c>
      <c r="D21" s="1" t="s">
        <v>4137</v>
      </c>
      <c r="E21" s="1" t="s">
        <v>4138</v>
      </c>
      <c r="F21" s="1" t="s">
        <v>4865</v>
      </c>
      <c r="G21" s="1" t="s">
        <v>4874</v>
      </c>
      <c r="H21" s="1" t="s">
        <v>4869</v>
      </c>
      <c r="I21" s="1" t="s">
        <v>4918</v>
      </c>
      <c r="J21" s="1" t="s">
        <v>4896</v>
      </c>
      <c r="K21" s="1" t="s">
        <v>4911</v>
      </c>
      <c r="L21" s="1" t="s">
        <v>3473</v>
      </c>
      <c r="M21" s="1">
        <v>8211189929</v>
      </c>
      <c r="N21" s="11" t="s">
        <v>4139</v>
      </c>
      <c r="O21" s="1">
        <v>8311189929</v>
      </c>
      <c r="P21" s="9"/>
      <c r="Q21" s="1" t="s">
        <v>4138</v>
      </c>
      <c r="R21" s="1" t="s">
        <v>1482</v>
      </c>
      <c r="S21" s="1">
        <v>8311189929</v>
      </c>
      <c r="T21" s="11" t="s">
        <v>4139</v>
      </c>
      <c r="U21" s="1">
        <v>8311189929</v>
      </c>
      <c r="V21" s="9"/>
      <c r="W21" s="1" t="s">
        <v>4140</v>
      </c>
      <c r="X21" s="1" t="s">
        <v>4141</v>
      </c>
      <c r="Y21" s="1">
        <v>8212114241</v>
      </c>
      <c r="Z21" s="11" t="s">
        <v>4142</v>
      </c>
      <c r="AA21" s="1">
        <v>8212114241</v>
      </c>
      <c r="AB21" s="9"/>
      <c r="AC21" s="1"/>
      <c r="AD21" s="1"/>
      <c r="AE21" s="1"/>
      <c r="AF21" s="1"/>
      <c r="AG21" s="1"/>
      <c r="AI21" s="11" t="s">
        <v>4144</v>
      </c>
    </row>
    <row r="22" spans="1:35" x14ac:dyDescent="0.25">
      <c r="A22" s="1" t="s">
        <v>630</v>
      </c>
      <c r="B22" s="1"/>
      <c r="C22" s="1" t="s">
        <v>2943</v>
      </c>
      <c r="D22" s="1" t="s">
        <v>4145</v>
      </c>
      <c r="E22" s="1" t="s">
        <v>2948</v>
      </c>
      <c r="F22" s="1" t="s">
        <v>4863</v>
      </c>
      <c r="G22" s="1" t="s">
        <v>4872</v>
      </c>
      <c r="H22" s="1" t="s">
        <v>4869</v>
      </c>
      <c r="I22" s="1" t="s">
        <v>4933</v>
      </c>
      <c r="J22" s="1" t="s">
        <v>4896</v>
      </c>
      <c r="K22" s="1" t="s">
        <v>4911</v>
      </c>
      <c r="L22" s="1" t="s">
        <v>3473</v>
      </c>
      <c r="M22" s="1">
        <v>8182593792</v>
      </c>
      <c r="N22" s="11" t="s">
        <v>2949</v>
      </c>
      <c r="O22" s="1">
        <v>8182593792</v>
      </c>
      <c r="P22" s="9"/>
      <c r="Q22" s="1" t="s">
        <v>4146</v>
      </c>
      <c r="R22" s="1" t="s">
        <v>2946</v>
      </c>
      <c r="S22" s="1">
        <v>8110376016</v>
      </c>
      <c r="T22" s="11" t="s">
        <v>2947</v>
      </c>
      <c r="U22" s="1">
        <v>8110376016</v>
      </c>
      <c r="V22" s="9"/>
      <c r="W22" s="1" t="s">
        <v>2948</v>
      </c>
      <c r="X22" s="1" t="s">
        <v>1482</v>
      </c>
      <c r="Y22" s="1">
        <v>8180593792</v>
      </c>
      <c r="Z22" s="11" t="s">
        <v>2947</v>
      </c>
      <c r="AA22" s="1">
        <v>8180593792</v>
      </c>
      <c r="AB22" s="9"/>
      <c r="AC22" s="1" t="s">
        <v>4147</v>
      </c>
      <c r="AD22" s="1" t="s">
        <v>4148</v>
      </c>
      <c r="AE22" s="1">
        <v>8115663164</v>
      </c>
      <c r="AF22" s="11" t="s">
        <v>4149</v>
      </c>
      <c r="AG22" s="1">
        <v>8115663167</v>
      </c>
      <c r="AI22" s="11" t="s">
        <v>4150</v>
      </c>
    </row>
    <row r="23" spans="1:35" x14ac:dyDescent="0.25">
      <c r="A23" s="1" t="s">
        <v>631</v>
      </c>
      <c r="B23" s="18" t="s">
        <v>4349</v>
      </c>
      <c r="C23" s="1" t="s">
        <v>4273</v>
      </c>
      <c r="D23" s="1" t="s">
        <v>4348</v>
      </c>
      <c r="E23" s="1" t="s">
        <v>4350</v>
      </c>
      <c r="F23" s="1" t="s">
        <v>4865</v>
      </c>
      <c r="G23" s="1" t="s">
        <v>4875</v>
      </c>
      <c r="H23" s="1" t="s">
        <v>4869</v>
      </c>
      <c r="I23" s="1" t="s">
        <v>5010</v>
      </c>
      <c r="J23" s="1" t="s">
        <v>4896</v>
      </c>
      <c r="K23" s="1" t="s">
        <v>4911</v>
      </c>
      <c r="L23" s="1" t="s">
        <v>1522</v>
      </c>
      <c r="M23" s="1">
        <v>8110506573</v>
      </c>
      <c r="N23" s="11" t="s">
        <v>4351</v>
      </c>
      <c r="O23" s="1">
        <v>8110506573</v>
      </c>
      <c r="P23" s="9"/>
      <c r="Q23" s="1" t="s">
        <v>4352</v>
      </c>
      <c r="R23" s="1" t="s">
        <v>4353</v>
      </c>
      <c r="S23" s="1">
        <v>8182031850</v>
      </c>
      <c r="T23" s="11" t="s">
        <v>4354</v>
      </c>
      <c r="U23" s="1">
        <v>8182031850</v>
      </c>
      <c r="V23" s="9"/>
      <c r="W23" s="1" t="s">
        <v>4355</v>
      </c>
      <c r="X23" s="1" t="s">
        <v>4353</v>
      </c>
      <c r="Y23" s="1">
        <v>8184002000</v>
      </c>
      <c r="Z23" s="11" t="s">
        <v>4356</v>
      </c>
      <c r="AA23" s="1">
        <v>8184002000</v>
      </c>
      <c r="AB23" s="9"/>
      <c r="AC23" s="1" t="s">
        <v>4350</v>
      </c>
      <c r="AD23" s="1" t="s">
        <v>1729</v>
      </c>
      <c r="AE23" s="1">
        <v>8110506573</v>
      </c>
      <c r="AF23" s="11" t="s">
        <v>4351</v>
      </c>
      <c r="AG23" s="1">
        <v>8110506573</v>
      </c>
      <c r="AI23" s="11" t="s">
        <v>4357</v>
      </c>
    </row>
    <row r="24" spans="1:35" x14ac:dyDescent="0.25">
      <c r="A24" s="1" t="s">
        <v>632</v>
      </c>
      <c r="B24" s="18" t="s">
        <v>4400</v>
      </c>
      <c r="C24" s="1" t="s">
        <v>4273</v>
      </c>
      <c r="D24" s="1" t="s">
        <v>4399</v>
      </c>
      <c r="E24" s="1" t="s">
        <v>4401</v>
      </c>
      <c r="F24" s="1" t="s">
        <v>4863</v>
      </c>
      <c r="G24" s="1" t="s">
        <v>4875</v>
      </c>
      <c r="H24" s="1" t="s">
        <v>4868</v>
      </c>
      <c r="I24" s="1" t="s">
        <v>4948</v>
      </c>
      <c r="J24" s="1" t="s">
        <v>4896</v>
      </c>
      <c r="K24" s="1" t="s">
        <v>5088</v>
      </c>
      <c r="L24" s="1" t="s">
        <v>4402</v>
      </c>
      <c r="M24" s="1">
        <v>8282690923</v>
      </c>
      <c r="N24" s="11" t="s">
        <v>4403</v>
      </c>
      <c r="O24" s="1">
        <v>8114698641</v>
      </c>
      <c r="P24" s="9"/>
      <c r="Q24" s="1" t="s">
        <v>4401</v>
      </c>
      <c r="R24" s="1" t="s">
        <v>4402</v>
      </c>
      <c r="S24" s="1">
        <v>8282690923</v>
      </c>
      <c r="T24" s="11" t="s">
        <v>4403</v>
      </c>
      <c r="U24" s="1">
        <v>8114698641</v>
      </c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1" t="s">
        <v>4404</v>
      </c>
    </row>
    <row r="25" spans="1:35" x14ac:dyDescent="0.25">
      <c r="A25" s="1" t="s">
        <v>633</v>
      </c>
      <c r="B25" s="18" t="s">
        <v>4660</v>
      </c>
      <c r="C25" s="1" t="s">
        <v>4505</v>
      </c>
      <c r="D25" s="1" t="s">
        <v>4506</v>
      </c>
      <c r="E25" s="1" t="s">
        <v>4507</v>
      </c>
      <c r="F25" s="1" t="s">
        <v>4867</v>
      </c>
      <c r="G25" s="1" t="s">
        <v>4875</v>
      </c>
      <c r="H25" s="1" t="s">
        <v>4869</v>
      </c>
      <c r="I25" s="1" t="s">
        <v>4916</v>
      </c>
      <c r="J25" s="1" t="s">
        <v>4896</v>
      </c>
      <c r="K25" s="1" t="s">
        <v>4911</v>
      </c>
      <c r="L25" s="1" t="s">
        <v>4508</v>
      </c>
      <c r="M25" s="1">
        <v>8118014056</v>
      </c>
      <c r="N25" s="11" t="s">
        <v>4509</v>
      </c>
      <c r="O25" s="1">
        <v>8118014056</v>
      </c>
      <c r="P25" s="9"/>
      <c r="Q25" s="1" t="s">
        <v>4507</v>
      </c>
      <c r="R25" s="1" t="s">
        <v>4508</v>
      </c>
      <c r="S25" s="1">
        <v>8118014056</v>
      </c>
      <c r="T25" s="11" t="s">
        <v>4509</v>
      </c>
      <c r="U25" s="1">
        <v>8118014056</v>
      </c>
      <c r="V25" s="9"/>
      <c r="W25" s="1" t="s">
        <v>4510</v>
      </c>
      <c r="X25" s="1" t="s">
        <v>4511</v>
      </c>
      <c r="Y25" s="1">
        <v>8134034661</v>
      </c>
      <c r="Z25" s="11" t="s">
        <v>4512</v>
      </c>
      <c r="AA25" s="1">
        <v>8134034661</v>
      </c>
      <c r="AB25" s="9"/>
      <c r="AC25" s="1"/>
      <c r="AD25" s="1"/>
      <c r="AE25" s="1"/>
      <c r="AF25" s="1"/>
      <c r="AG25" s="1"/>
      <c r="AI25" s="11" t="s">
        <v>4513</v>
      </c>
    </row>
    <row r="26" spans="1:35" x14ac:dyDescent="0.25">
      <c r="A26" s="1" t="s">
        <v>634</v>
      </c>
      <c r="B26" s="18" t="s">
        <v>4668</v>
      </c>
      <c r="C26" s="1" t="s">
        <v>4490</v>
      </c>
      <c r="D26" s="1" t="s">
        <v>4514</v>
      </c>
      <c r="E26" s="1" t="s">
        <v>4515</v>
      </c>
      <c r="F26" s="1" t="s">
        <v>4863</v>
      </c>
      <c r="G26" s="1" t="s">
        <v>4875</v>
      </c>
      <c r="H26" s="1" t="s">
        <v>4868</v>
      </c>
      <c r="I26" s="1" t="s">
        <v>4948</v>
      </c>
      <c r="J26" s="1" t="s">
        <v>4896</v>
      </c>
      <c r="K26" s="1" t="s">
        <v>4924</v>
      </c>
      <c r="L26" s="1" t="s">
        <v>1398</v>
      </c>
      <c r="M26" s="1" t="s">
        <v>1398</v>
      </c>
      <c r="N26" s="1" t="s">
        <v>1398</v>
      </c>
      <c r="O26" s="1" t="s">
        <v>1398</v>
      </c>
      <c r="P26" s="9"/>
      <c r="Q26" s="1" t="s">
        <v>4516</v>
      </c>
      <c r="R26" s="39" t="s">
        <v>4517</v>
      </c>
      <c r="S26" s="1" t="s">
        <v>4518</v>
      </c>
      <c r="T26" s="11" t="s">
        <v>4519</v>
      </c>
      <c r="U26" s="1">
        <v>8112297469</v>
      </c>
      <c r="V26" s="9"/>
      <c r="W26" s="1" t="s">
        <v>4520</v>
      </c>
      <c r="X26" s="1" t="s">
        <v>2229</v>
      </c>
      <c r="Y26" s="1" t="s">
        <v>4518</v>
      </c>
      <c r="Z26" s="11" t="s">
        <v>4519</v>
      </c>
      <c r="AA26" s="1">
        <v>8111812307</v>
      </c>
      <c r="AB26" s="9"/>
      <c r="AC26" s="1"/>
      <c r="AD26" s="1"/>
      <c r="AE26" s="1"/>
      <c r="AF26" s="1"/>
      <c r="AG26" s="1"/>
      <c r="AI26" s="11" t="s">
        <v>4521</v>
      </c>
    </row>
    <row r="27" spans="1:35" x14ac:dyDescent="0.25">
      <c r="A27" s="1" t="s">
        <v>635</v>
      </c>
      <c r="B27" s="18" t="s">
        <v>4669</v>
      </c>
      <c r="C27" s="1" t="s">
        <v>4490</v>
      </c>
      <c r="D27" s="1" t="s">
        <v>4599</v>
      </c>
      <c r="E27" s="1" t="s">
        <v>4600</v>
      </c>
      <c r="F27" s="1" t="s">
        <v>4863</v>
      </c>
      <c r="G27" s="1" t="s">
        <v>4874</v>
      </c>
      <c r="H27" s="1" t="s">
        <v>4868</v>
      </c>
      <c r="I27" s="1" t="s">
        <v>4948</v>
      </c>
      <c r="J27" s="1" t="s">
        <v>4896</v>
      </c>
      <c r="K27" s="1" t="s">
        <v>5089</v>
      </c>
      <c r="L27" s="1" t="s">
        <v>4601</v>
      </c>
      <c r="M27" s="1">
        <v>8118021949</v>
      </c>
      <c r="N27" s="11" t="s">
        <v>4602</v>
      </c>
      <c r="O27" s="1">
        <v>8118021949</v>
      </c>
      <c r="P27" s="9"/>
      <c r="Q27" s="1" t="s">
        <v>4600</v>
      </c>
      <c r="R27" s="1" t="s">
        <v>4601</v>
      </c>
      <c r="S27" s="1">
        <v>8118021949</v>
      </c>
      <c r="T27" s="11" t="s">
        <v>4602</v>
      </c>
      <c r="U27" s="1">
        <v>8118021949</v>
      </c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1" t="s">
        <v>4634</v>
      </c>
    </row>
    <row r="28" spans="1:35" x14ac:dyDescent="0.25">
      <c r="A28" s="1" t="s">
        <v>636</v>
      </c>
      <c r="B28" s="18" t="s">
        <v>4670</v>
      </c>
      <c r="C28" s="1" t="s">
        <v>4375</v>
      </c>
      <c r="D28" s="1" t="s">
        <v>4627</v>
      </c>
      <c r="E28" s="1" t="s">
        <v>4628</v>
      </c>
      <c r="F28" s="1" t="s">
        <v>4863</v>
      </c>
      <c r="G28" s="1" t="s">
        <v>4874</v>
      </c>
      <c r="H28" s="1" t="s">
        <v>4869</v>
      </c>
      <c r="I28" s="1" t="s">
        <v>4925</v>
      </c>
      <c r="J28" s="1" t="s">
        <v>4896</v>
      </c>
      <c r="K28" s="1" t="s">
        <v>4911</v>
      </c>
      <c r="L28" s="1" t="s">
        <v>4629</v>
      </c>
      <c r="M28" s="1">
        <v>8182572666</v>
      </c>
      <c r="N28" s="11" t="s">
        <v>4630</v>
      </c>
      <c r="O28" s="1">
        <v>8182572666</v>
      </c>
      <c r="P28" s="9"/>
      <c r="Q28" s="1" t="s">
        <v>4628</v>
      </c>
      <c r="R28" s="1" t="s">
        <v>4629</v>
      </c>
      <c r="S28" s="1">
        <v>8182572666</v>
      </c>
      <c r="T28" s="11" t="s">
        <v>4630</v>
      </c>
      <c r="U28" s="1">
        <v>8182572666</v>
      </c>
      <c r="V28" s="9"/>
      <c r="W28" s="1" t="s">
        <v>4631</v>
      </c>
      <c r="X28" s="1" t="s">
        <v>2097</v>
      </c>
      <c r="Y28" s="1">
        <v>8123503755</v>
      </c>
      <c r="Z28" s="11" t="s">
        <v>4632</v>
      </c>
      <c r="AA28" s="1">
        <v>8123503755</v>
      </c>
      <c r="AB28" s="9"/>
      <c r="AC28" s="1"/>
      <c r="AD28" s="1"/>
      <c r="AE28" s="1"/>
      <c r="AF28" s="1"/>
      <c r="AG28" s="1"/>
      <c r="AI28" s="11" t="s">
        <v>4633</v>
      </c>
    </row>
    <row r="29" spans="1:35" x14ac:dyDescent="0.25">
      <c r="A29" s="1" t="s">
        <v>637</v>
      </c>
      <c r="B29" s="1"/>
      <c r="C29" s="1" t="s">
        <v>4716</v>
      </c>
      <c r="D29" t="s">
        <v>4765</v>
      </c>
      <c r="E29" s="1" t="s">
        <v>4763</v>
      </c>
      <c r="F29" s="1" t="s">
        <v>4863</v>
      </c>
      <c r="G29" s="1" t="s">
        <v>4872</v>
      </c>
      <c r="H29" s="1" t="s">
        <v>4869</v>
      </c>
      <c r="I29" s="1" t="s">
        <v>4926</v>
      </c>
      <c r="J29" s="1" t="s">
        <v>4896</v>
      </c>
      <c r="K29" s="1" t="s">
        <v>4911</v>
      </c>
      <c r="L29" s="1" t="s">
        <v>1511</v>
      </c>
      <c r="M29" s="1">
        <v>8180476730</v>
      </c>
      <c r="N29" s="11" t="s">
        <v>4764</v>
      </c>
      <c r="O29" s="1">
        <v>8123739810</v>
      </c>
      <c r="P29" s="9"/>
      <c r="Q29" s="1" t="s">
        <v>4763</v>
      </c>
      <c r="R29" s="1" t="s">
        <v>1511</v>
      </c>
      <c r="S29" s="1">
        <v>8180476730</v>
      </c>
      <c r="T29" s="11" t="s">
        <v>4764</v>
      </c>
      <c r="U29" s="1">
        <v>8123739810</v>
      </c>
      <c r="V29" s="9"/>
      <c r="W29" s="1" t="s">
        <v>4766</v>
      </c>
      <c r="X29" s="1" t="s">
        <v>3632</v>
      </c>
      <c r="Y29" s="1">
        <v>8180476730</v>
      </c>
      <c r="Z29" s="11" t="s">
        <v>4767</v>
      </c>
      <c r="AA29" s="1">
        <v>8123739810</v>
      </c>
      <c r="AB29" s="9"/>
      <c r="AC29" s="1"/>
      <c r="AD29" s="1"/>
      <c r="AE29" s="1"/>
      <c r="AF29" s="1"/>
      <c r="AG29" s="1"/>
      <c r="AI29" s="11" t="s">
        <v>4768</v>
      </c>
    </row>
    <row r="30" spans="1:35" x14ac:dyDescent="0.25">
      <c r="A30" s="1" t="s">
        <v>638</v>
      </c>
      <c r="B30" s="1"/>
      <c r="C30" s="1" t="s">
        <v>4490</v>
      </c>
      <c r="D30" t="s">
        <v>4770</v>
      </c>
      <c r="E30" s="1" t="s">
        <v>4769</v>
      </c>
      <c r="F30" s="1" t="s">
        <v>4865</v>
      </c>
      <c r="G30" s="1" t="s">
        <v>4875</v>
      </c>
      <c r="H30" s="1" t="s">
        <v>4869</v>
      </c>
      <c r="I30" s="1" t="s">
        <v>4918</v>
      </c>
      <c r="J30" s="1" t="s">
        <v>4896</v>
      </c>
      <c r="K30" s="1" t="s">
        <v>4911</v>
      </c>
      <c r="L30" s="1" t="s">
        <v>4771</v>
      </c>
      <c r="M30" s="1">
        <v>8123556818</v>
      </c>
      <c r="N30" s="11" t="s">
        <v>4772</v>
      </c>
      <c r="O30" s="1">
        <v>8123556818</v>
      </c>
      <c r="P30" s="9"/>
      <c r="Q30" s="1" t="s">
        <v>4773</v>
      </c>
      <c r="R30" s="1" t="s">
        <v>4774</v>
      </c>
      <c r="S30" s="1">
        <v>4621871058</v>
      </c>
      <c r="T30" s="11" t="s">
        <v>4775</v>
      </c>
      <c r="U30" s="1">
        <v>4621871058</v>
      </c>
      <c r="V30" s="9"/>
      <c r="W30" s="1" t="s">
        <v>4776</v>
      </c>
      <c r="X30" s="1" t="s">
        <v>4774</v>
      </c>
      <c r="Y30" s="1">
        <v>5617487527</v>
      </c>
      <c r="Z30" s="11" t="s">
        <v>4777</v>
      </c>
      <c r="AA30" s="1">
        <v>5617487527</v>
      </c>
      <c r="AB30" s="9"/>
      <c r="AC30" s="1" t="s">
        <v>4769</v>
      </c>
      <c r="AD30" s="1" t="s">
        <v>4771</v>
      </c>
      <c r="AE30" s="1">
        <v>8123556818</v>
      </c>
      <c r="AF30" s="11" t="s">
        <v>4772</v>
      </c>
      <c r="AG30" s="1">
        <v>8123556818</v>
      </c>
      <c r="AI30" s="11" t="s">
        <v>4778</v>
      </c>
    </row>
    <row r="31" spans="1:35" x14ac:dyDescent="0.25">
      <c r="A31" s="1" t="s">
        <v>639</v>
      </c>
      <c r="B31" s="1"/>
      <c r="C31" s="1" t="s">
        <v>4780</v>
      </c>
      <c r="D31" s="1" t="s">
        <v>4779</v>
      </c>
      <c r="E31" s="1" t="s">
        <v>4781</v>
      </c>
      <c r="F31" s="1" t="s">
        <v>4863</v>
      </c>
      <c r="G31" s="1" t="s">
        <v>4874</v>
      </c>
      <c r="H31" s="1" t="s">
        <v>4868</v>
      </c>
      <c r="I31" s="1" t="s">
        <v>4948</v>
      </c>
      <c r="J31" s="1" t="s">
        <v>4896</v>
      </c>
      <c r="K31" s="1" t="s">
        <v>5090</v>
      </c>
      <c r="L31" s="1" t="s">
        <v>4782</v>
      </c>
      <c r="M31" s="1">
        <v>8242420925</v>
      </c>
      <c r="N31" s="11" t="s">
        <v>4783</v>
      </c>
      <c r="O31" s="1">
        <v>8241170123</v>
      </c>
      <c r="P31" s="9"/>
      <c r="Q31" s="1" t="s">
        <v>4784</v>
      </c>
      <c r="R31" s="1" t="s">
        <v>4785</v>
      </c>
      <c r="S31" s="1">
        <v>8242420925</v>
      </c>
      <c r="T31" s="11" t="s">
        <v>4786</v>
      </c>
      <c r="U31" s="1">
        <v>8241051737</v>
      </c>
      <c r="V31" s="9"/>
      <c r="W31" s="1" t="s">
        <v>4787</v>
      </c>
      <c r="X31" s="1" t="s">
        <v>4788</v>
      </c>
      <c r="Y31" s="1">
        <v>8126225642</v>
      </c>
      <c r="Z31" s="11" t="s">
        <v>4789</v>
      </c>
      <c r="AA31" s="1">
        <v>8126225642</v>
      </c>
      <c r="AB31" s="9"/>
      <c r="AC31" s="1" t="s">
        <v>4781</v>
      </c>
      <c r="AD31" s="1" t="s">
        <v>4782</v>
      </c>
      <c r="AE31" s="1">
        <v>8242420925</v>
      </c>
      <c r="AF31" s="11" t="s">
        <v>4783</v>
      </c>
      <c r="AG31" s="1">
        <v>8241170123</v>
      </c>
      <c r="AI31" s="11" t="s">
        <v>4790</v>
      </c>
    </row>
    <row r="32" spans="1:35" x14ac:dyDescent="0.25">
      <c r="A32" s="1" t="s">
        <v>640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641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642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643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644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645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646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647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648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649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650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651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652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653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654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655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656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657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658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659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SUBTOTAL(103,Tabla17[ARCHIVO])</f>
        <v>30</v>
      </c>
    </row>
  </sheetData>
  <hyperlinks>
    <hyperlink ref="T2" r:id="rId1" xr:uid="{00000000-0004-0000-0D00-000000000000}"/>
    <hyperlink ref="Z2" r:id="rId2" xr:uid="{00000000-0004-0000-0D00-000001000000}"/>
    <hyperlink ref="AF2" r:id="rId3" xr:uid="{00000000-0004-0000-0D00-000002000000}"/>
    <hyperlink ref="AI2" r:id="rId4" xr:uid="{00000000-0004-0000-0D00-000003000000}"/>
    <hyperlink ref="N3" r:id="rId5" xr:uid="{00000000-0004-0000-0D00-000004000000}"/>
    <hyperlink ref="AI3" r:id="rId6" xr:uid="{00000000-0004-0000-0D00-000005000000}"/>
    <hyperlink ref="N4" r:id="rId7" xr:uid="{00000000-0004-0000-0D00-000006000000}"/>
    <hyperlink ref="T4" r:id="rId8" xr:uid="{00000000-0004-0000-0D00-000007000000}"/>
    <hyperlink ref="Z4" r:id="rId9" xr:uid="{00000000-0004-0000-0D00-000008000000}"/>
    <hyperlink ref="AF4" r:id="rId10" xr:uid="{00000000-0004-0000-0D00-000009000000}"/>
    <hyperlink ref="AI4" r:id="rId11" xr:uid="{00000000-0004-0000-0D00-00000A000000}"/>
    <hyperlink ref="T5" r:id="rId12" xr:uid="{00000000-0004-0000-0D00-00000B000000}"/>
    <hyperlink ref="Z5" r:id="rId13" xr:uid="{00000000-0004-0000-0D00-00000C000000}"/>
    <hyperlink ref="AF5" r:id="rId14" xr:uid="{00000000-0004-0000-0D00-00000D000000}"/>
    <hyperlink ref="AI5" r:id="rId15" xr:uid="{00000000-0004-0000-0D00-00000E000000}"/>
    <hyperlink ref="N6" r:id="rId16" xr:uid="{00000000-0004-0000-0D00-00000F000000}"/>
    <hyperlink ref="T6" r:id="rId17" xr:uid="{00000000-0004-0000-0D00-000010000000}"/>
    <hyperlink ref="AI6" r:id="rId18" xr:uid="{00000000-0004-0000-0D00-000011000000}"/>
    <hyperlink ref="Z7" r:id="rId19" xr:uid="{00000000-0004-0000-0D00-000012000000}"/>
    <hyperlink ref="N7" r:id="rId20" xr:uid="{00000000-0004-0000-0D00-000013000000}"/>
    <hyperlink ref="T7" r:id="rId21" xr:uid="{00000000-0004-0000-0D00-000014000000}"/>
    <hyperlink ref="AI7" r:id="rId22" xr:uid="{00000000-0004-0000-0D00-000015000000}"/>
    <hyperlink ref="N8" r:id="rId23" xr:uid="{00000000-0004-0000-0D00-000016000000}"/>
    <hyperlink ref="AI8" r:id="rId24" xr:uid="{00000000-0004-0000-0D00-000017000000}"/>
    <hyperlink ref="N9" r:id="rId25" xr:uid="{00000000-0004-0000-0D00-000018000000}"/>
    <hyperlink ref="T9" r:id="rId26" xr:uid="{00000000-0004-0000-0D00-000019000000}"/>
    <hyperlink ref="Z9" r:id="rId27" xr:uid="{00000000-0004-0000-0D00-00001A000000}"/>
    <hyperlink ref="AF9" r:id="rId28" xr:uid="{00000000-0004-0000-0D00-00001B000000}"/>
    <hyperlink ref="AI9" r:id="rId29" xr:uid="{00000000-0004-0000-0D00-00001C000000}"/>
    <hyperlink ref="T10" r:id="rId30" xr:uid="{00000000-0004-0000-0D00-00001D000000}"/>
    <hyperlink ref="Z10" r:id="rId31" xr:uid="{00000000-0004-0000-0D00-00001E000000}"/>
    <hyperlink ref="AI10" r:id="rId32" xr:uid="{00000000-0004-0000-0D00-00001F000000}"/>
    <hyperlink ref="T11" r:id="rId33" xr:uid="{00000000-0004-0000-0D00-000020000000}"/>
    <hyperlink ref="Z11" r:id="rId34" xr:uid="{00000000-0004-0000-0D00-000021000000}"/>
    <hyperlink ref="AI11" r:id="rId35" xr:uid="{00000000-0004-0000-0D00-000022000000}"/>
    <hyperlink ref="N12" r:id="rId36" xr:uid="{00000000-0004-0000-0D00-000023000000}"/>
    <hyperlink ref="T12" r:id="rId37" xr:uid="{00000000-0004-0000-0D00-000024000000}"/>
    <hyperlink ref="N13" r:id="rId38" xr:uid="{00000000-0004-0000-0D00-000025000000}"/>
    <hyperlink ref="T13" r:id="rId39" xr:uid="{00000000-0004-0000-0D00-000026000000}"/>
    <hyperlink ref="Z13" r:id="rId40" xr:uid="{00000000-0004-0000-0D00-000027000000}"/>
    <hyperlink ref="AI13" r:id="rId41" xr:uid="{00000000-0004-0000-0D00-000028000000}"/>
    <hyperlink ref="AI12" r:id="rId42" xr:uid="{00000000-0004-0000-0D00-000029000000}"/>
    <hyperlink ref="N14" r:id="rId43" xr:uid="{00000000-0004-0000-0D00-00002A000000}"/>
    <hyperlink ref="T14" r:id="rId44" xr:uid="{00000000-0004-0000-0D00-00002B000000}"/>
    <hyperlink ref="N16" r:id="rId45" xr:uid="{00000000-0004-0000-0D00-00002C000000}"/>
    <hyperlink ref="T16" r:id="rId46" xr:uid="{00000000-0004-0000-0D00-00002D000000}"/>
    <hyperlink ref="Z16" r:id="rId47" xr:uid="{00000000-0004-0000-0D00-00002E000000}"/>
    <hyperlink ref="N15" r:id="rId48" xr:uid="{00000000-0004-0000-0D00-00002F000000}"/>
    <hyperlink ref="T15" r:id="rId49" xr:uid="{00000000-0004-0000-0D00-000030000000}"/>
    <hyperlink ref="AI16" r:id="rId50" xr:uid="{00000000-0004-0000-0D00-000031000000}"/>
    <hyperlink ref="N17" r:id="rId51" xr:uid="{00000000-0004-0000-0D00-000032000000}"/>
    <hyperlink ref="T17" r:id="rId52" xr:uid="{00000000-0004-0000-0D00-000033000000}"/>
    <hyperlink ref="Z18" r:id="rId53" xr:uid="{00000000-0004-0000-0D00-000034000000}"/>
    <hyperlink ref="T18" r:id="rId54" xr:uid="{00000000-0004-0000-0D00-000035000000}"/>
    <hyperlink ref="AI18" r:id="rId55" xr:uid="{00000000-0004-0000-0D00-000036000000}"/>
    <hyperlink ref="N19" r:id="rId56" xr:uid="{00000000-0004-0000-0D00-000037000000}"/>
    <hyperlink ref="T19" r:id="rId57" xr:uid="{00000000-0004-0000-0D00-000038000000}"/>
    <hyperlink ref="AI19" r:id="rId58" xr:uid="{00000000-0004-0000-0D00-000039000000}"/>
    <hyperlink ref="AI14" r:id="rId59" xr:uid="{00000000-0004-0000-0D00-00003A000000}"/>
    <hyperlink ref="AI15" r:id="rId60" xr:uid="{00000000-0004-0000-0D00-00003B000000}"/>
    <hyperlink ref="AI17" r:id="rId61" xr:uid="{00000000-0004-0000-0D00-00003C000000}"/>
    <hyperlink ref="T3" r:id="rId62" xr:uid="{00000000-0004-0000-0D00-00003D000000}"/>
    <hyperlink ref="T8" r:id="rId63" xr:uid="{00000000-0004-0000-0D00-00003E000000}"/>
    <hyperlink ref="N20" r:id="rId64" xr:uid="{00000000-0004-0000-0D00-00003F000000}"/>
    <hyperlink ref="T20" r:id="rId65" xr:uid="{00000000-0004-0000-0D00-000040000000}"/>
    <hyperlink ref="Z20" r:id="rId66" xr:uid="{00000000-0004-0000-0D00-000041000000}"/>
    <hyperlink ref="AF20" r:id="rId67" xr:uid="{00000000-0004-0000-0D00-000042000000}"/>
    <hyperlink ref="AI20" r:id="rId68" xr:uid="{00000000-0004-0000-0D00-000043000000}"/>
    <hyperlink ref="N21" r:id="rId69" xr:uid="{00000000-0004-0000-0D00-000044000000}"/>
    <hyperlink ref="T21" r:id="rId70" xr:uid="{00000000-0004-0000-0D00-000045000000}"/>
    <hyperlink ref="Z21" r:id="rId71" xr:uid="{00000000-0004-0000-0D00-000046000000}"/>
    <hyperlink ref="AI21" r:id="rId72" xr:uid="{00000000-0004-0000-0D00-000047000000}"/>
    <hyperlink ref="N22" r:id="rId73" xr:uid="{00000000-0004-0000-0D00-000048000000}"/>
    <hyperlink ref="T22" r:id="rId74" xr:uid="{00000000-0004-0000-0D00-000049000000}"/>
    <hyperlink ref="Z22" r:id="rId75" xr:uid="{00000000-0004-0000-0D00-00004A000000}"/>
    <hyperlink ref="AF22" r:id="rId76" xr:uid="{00000000-0004-0000-0D00-00004B000000}"/>
    <hyperlink ref="AI22" r:id="rId77" xr:uid="{00000000-0004-0000-0D00-00004C000000}"/>
    <hyperlink ref="N23" r:id="rId78" xr:uid="{00000000-0004-0000-0D00-00004D000000}"/>
    <hyperlink ref="AF23" r:id="rId79" xr:uid="{00000000-0004-0000-0D00-00004E000000}"/>
    <hyperlink ref="T23" r:id="rId80" xr:uid="{00000000-0004-0000-0D00-00004F000000}"/>
    <hyperlink ref="Z23" r:id="rId81" xr:uid="{00000000-0004-0000-0D00-000050000000}"/>
    <hyperlink ref="AI23" r:id="rId82" xr:uid="{00000000-0004-0000-0D00-000051000000}"/>
    <hyperlink ref="N24" r:id="rId83" xr:uid="{00000000-0004-0000-0D00-000052000000}"/>
    <hyperlink ref="T24" r:id="rId84" xr:uid="{00000000-0004-0000-0D00-000053000000}"/>
    <hyperlink ref="AI24" r:id="rId85" xr:uid="{00000000-0004-0000-0D00-000054000000}"/>
    <hyperlink ref="N25" r:id="rId86" xr:uid="{00000000-0004-0000-0D00-000055000000}"/>
    <hyperlink ref="T25" r:id="rId87" xr:uid="{00000000-0004-0000-0D00-000056000000}"/>
    <hyperlink ref="Z25" r:id="rId88" xr:uid="{00000000-0004-0000-0D00-000057000000}"/>
    <hyperlink ref="AI25" r:id="rId89" xr:uid="{00000000-0004-0000-0D00-000058000000}"/>
    <hyperlink ref="T26" r:id="rId90" xr:uid="{00000000-0004-0000-0D00-000059000000}"/>
    <hyperlink ref="Z26" r:id="rId91" xr:uid="{00000000-0004-0000-0D00-00005A000000}"/>
    <hyperlink ref="AI26" r:id="rId92" xr:uid="{00000000-0004-0000-0D00-00005B000000}"/>
    <hyperlink ref="N27" r:id="rId93" xr:uid="{00000000-0004-0000-0D00-00005C000000}"/>
    <hyperlink ref="T27" r:id="rId94" xr:uid="{00000000-0004-0000-0D00-00005D000000}"/>
    <hyperlink ref="N28" r:id="rId95" xr:uid="{00000000-0004-0000-0D00-00005E000000}"/>
    <hyperlink ref="T28" r:id="rId96" xr:uid="{00000000-0004-0000-0D00-00005F000000}"/>
    <hyperlink ref="Z28" r:id="rId97" xr:uid="{00000000-0004-0000-0D00-000060000000}"/>
    <hyperlink ref="AI28" r:id="rId98" xr:uid="{00000000-0004-0000-0D00-000061000000}"/>
    <hyperlink ref="AI27" r:id="rId99" xr:uid="{00000000-0004-0000-0D00-000062000000}"/>
    <hyperlink ref="N29" r:id="rId100" xr:uid="{00000000-0004-0000-0D00-000063000000}"/>
    <hyperlink ref="T29" r:id="rId101" xr:uid="{00000000-0004-0000-0D00-000064000000}"/>
    <hyperlink ref="Z29" r:id="rId102" xr:uid="{00000000-0004-0000-0D00-000065000000}"/>
    <hyperlink ref="AI29" r:id="rId103" xr:uid="{00000000-0004-0000-0D00-000066000000}"/>
    <hyperlink ref="N30" r:id="rId104" xr:uid="{00000000-0004-0000-0D00-000067000000}"/>
    <hyperlink ref="AF30" r:id="rId105" xr:uid="{00000000-0004-0000-0D00-000068000000}"/>
    <hyperlink ref="T30" r:id="rId106" xr:uid="{00000000-0004-0000-0D00-000069000000}"/>
    <hyperlink ref="Z30" r:id="rId107" xr:uid="{00000000-0004-0000-0D00-00006A000000}"/>
    <hyperlink ref="AI30" r:id="rId108" xr:uid="{00000000-0004-0000-0D00-00006B000000}"/>
    <hyperlink ref="N31" r:id="rId109" xr:uid="{00000000-0004-0000-0D00-00006C000000}"/>
    <hyperlink ref="T31" r:id="rId110" xr:uid="{00000000-0004-0000-0D00-00006D000000}"/>
    <hyperlink ref="Z31" r:id="rId111" xr:uid="{00000000-0004-0000-0D00-00006E000000}"/>
    <hyperlink ref="AF31" r:id="rId112" xr:uid="{00000000-0004-0000-0D00-00006F000000}"/>
    <hyperlink ref="AI31" r:id="rId113" xr:uid="{00000000-0004-0000-0D00-000070000000}"/>
  </hyperlinks>
  <pageMargins left="0.7" right="0.7" top="0.75" bottom="0.75" header="0.3" footer="0.3"/>
  <pageSetup paperSize="9" orientation="portrait" r:id="rId114"/>
  <tableParts count="1">
    <tablePart r:id="rId11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D00-000000000000}">
          <x14:formula1>
            <xm:f>DATOS!$B$4:$B$8</xm:f>
          </x14:formula1>
          <xm:sqref>F2:F51 F53:F1048576</xm:sqref>
        </x14:dataValidation>
        <x14:dataValidation type="list" allowBlank="1" showInputMessage="1" showErrorMessage="1" xr:uid="{00000000-0002-0000-0D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D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D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I52"/>
  <sheetViews>
    <sheetView topLeftCell="Z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2.140625" customWidth="1"/>
    <col min="4" max="4" width="34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8.85546875" bestFit="1" customWidth="1"/>
    <col min="10" max="10" width="13.5703125" customWidth="1"/>
    <col min="11" max="11" width="17" bestFit="1" customWidth="1"/>
    <col min="12" max="12" width="28.85546875" customWidth="1"/>
    <col min="13" max="13" width="30.28515625" customWidth="1"/>
    <col min="14" max="14" width="32" customWidth="1"/>
    <col min="15" max="15" width="15.140625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33.85546875" customWidth="1"/>
    <col min="21" max="21" width="16.42578125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9" bestFit="1" customWidth="1"/>
    <col min="27" max="27" width="18.28515625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9" bestFit="1" customWidth="1"/>
    <col min="33" max="33" width="17" customWidth="1"/>
    <col min="34" max="34" width="11.85546875" customWidth="1"/>
    <col min="35" max="35" width="65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660</v>
      </c>
      <c r="B2" s="18" t="s">
        <v>2887</v>
      </c>
      <c r="C2" s="1" t="s">
        <v>1595</v>
      </c>
      <c r="D2" s="1" t="s">
        <v>1594</v>
      </c>
      <c r="E2" s="1" t="s">
        <v>1596</v>
      </c>
      <c r="F2" s="1" t="s">
        <v>4865</v>
      </c>
      <c r="G2" s="1" t="s">
        <v>4873</v>
      </c>
      <c r="H2" s="1" t="s">
        <v>4869</v>
      </c>
      <c r="I2" s="1" t="s">
        <v>4919</v>
      </c>
      <c r="J2" s="1" t="s">
        <v>4896</v>
      </c>
      <c r="K2" s="1" t="s">
        <v>4943</v>
      </c>
      <c r="L2" s="1" t="s">
        <v>1597</v>
      </c>
      <c r="M2" s="1">
        <v>8110809231</v>
      </c>
      <c r="N2" s="11" t="s">
        <v>1598</v>
      </c>
      <c r="O2" s="1">
        <v>8110809231</v>
      </c>
      <c r="P2" s="9"/>
      <c r="Q2" s="1" t="s">
        <v>1596</v>
      </c>
      <c r="R2" s="1" t="s">
        <v>1597</v>
      </c>
      <c r="S2" s="1">
        <v>8110809231</v>
      </c>
      <c r="T2" s="11" t="s">
        <v>1598</v>
      </c>
      <c r="U2" s="1">
        <v>8110809231</v>
      </c>
      <c r="V2" s="9"/>
      <c r="W2" s="1" t="s">
        <v>1599</v>
      </c>
      <c r="X2" s="1" t="s">
        <v>1600</v>
      </c>
      <c r="Y2" s="1">
        <v>8114132444</v>
      </c>
      <c r="Z2" s="11" t="s">
        <v>1601</v>
      </c>
      <c r="AA2" s="1">
        <v>8114132444</v>
      </c>
      <c r="AB2" s="9"/>
      <c r="AC2" s="1"/>
      <c r="AD2" s="1"/>
      <c r="AE2" s="1"/>
      <c r="AF2" s="1"/>
      <c r="AG2" s="1"/>
      <c r="AI2" s="11" t="s">
        <v>1602</v>
      </c>
    </row>
    <row r="3" spans="1:35" x14ac:dyDescent="0.25">
      <c r="A3" s="1" t="s">
        <v>661</v>
      </c>
      <c r="B3" s="18" t="s">
        <v>2888</v>
      </c>
      <c r="C3" s="1" t="s">
        <v>1795</v>
      </c>
      <c r="D3" s="1" t="s">
        <v>2780</v>
      </c>
      <c r="E3" s="1" t="s">
        <v>1796</v>
      </c>
      <c r="F3" s="1" t="s">
        <v>4864</v>
      </c>
      <c r="G3" s="1" t="s">
        <v>4872</v>
      </c>
      <c r="H3" s="1" t="s">
        <v>4869</v>
      </c>
      <c r="I3" s="1" t="s">
        <v>4949</v>
      </c>
      <c r="J3" s="1" t="s">
        <v>4896</v>
      </c>
      <c r="K3" s="1" t="s">
        <v>4911</v>
      </c>
      <c r="L3" s="1" t="s">
        <v>1383</v>
      </c>
      <c r="M3" s="1">
        <v>8120144030</v>
      </c>
      <c r="N3" s="11" t="s">
        <v>1797</v>
      </c>
      <c r="O3" s="1">
        <v>8120144030</v>
      </c>
      <c r="P3" s="9"/>
      <c r="Q3" s="1" t="s">
        <v>1796</v>
      </c>
      <c r="R3" s="1" t="s">
        <v>1383</v>
      </c>
      <c r="S3" s="1">
        <v>8120144030</v>
      </c>
      <c r="T3" s="11" t="s">
        <v>1797</v>
      </c>
      <c r="U3" s="1">
        <v>8120144030</v>
      </c>
      <c r="V3" s="9"/>
      <c r="W3" s="1" t="s">
        <v>1798</v>
      </c>
      <c r="X3" s="1" t="s">
        <v>1799</v>
      </c>
      <c r="Y3" s="1">
        <v>8123712443</v>
      </c>
      <c r="Z3" s="11" t="s">
        <v>1800</v>
      </c>
      <c r="AA3" s="1">
        <v>8131082079</v>
      </c>
      <c r="AB3" s="9"/>
      <c r="AC3" s="1" t="s">
        <v>1801</v>
      </c>
      <c r="AD3" s="1" t="s">
        <v>1511</v>
      </c>
      <c r="AE3" s="1">
        <v>8131938170</v>
      </c>
      <c r="AF3" s="11" t="s">
        <v>1802</v>
      </c>
      <c r="AG3" s="1">
        <v>8130766013</v>
      </c>
      <c r="AI3" s="11" t="s">
        <v>1803</v>
      </c>
    </row>
    <row r="4" spans="1:35" x14ac:dyDescent="0.25">
      <c r="A4" s="1" t="s">
        <v>662</v>
      </c>
      <c r="B4" s="18" t="s">
        <v>3947</v>
      </c>
      <c r="C4" s="1" t="s">
        <v>2175</v>
      </c>
      <c r="D4" s="1" t="s">
        <v>3188</v>
      </c>
      <c r="E4" s="1" t="s">
        <v>3189</v>
      </c>
      <c r="F4" s="1" t="s">
        <v>4864</v>
      </c>
      <c r="G4" s="1" t="s">
        <v>4875</v>
      </c>
      <c r="H4" s="1" t="s">
        <v>4869</v>
      </c>
      <c r="I4" s="1" t="s">
        <v>4921</v>
      </c>
      <c r="J4" s="1" t="s">
        <v>4896</v>
      </c>
      <c r="K4" s="1" t="s">
        <v>4911</v>
      </c>
      <c r="L4" s="1" t="s">
        <v>3190</v>
      </c>
      <c r="M4" s="1">
        <v>818748</v>
      </c>
      <c r="N4" s="11" t="s">
        <v>3191</v>
      </c>
      <c r="O4" s="1">
        <v>8121991750</v>
      </c>
      <c r="P4" s="9"/>
      <c r="Q4" s="1" t="s">
        <v>3189</v>
      </c>
      <c r="R4" s="1" t="s">
        <v>3190</v>
      </c>
      <c r="S4" s="1">
        <v>818748</v>
      </c>
      <c r="T4" s="11" t="s">
        <v>3191</v>
      </c>
      <c r="U4" s="1">
        <v>8121991750</v>
      </c>
      <c r="V4" s="9"/>
      <c r="W4" s="1" t="s">
        <v>3192</v>
      </c>
      <c r="X4" s="1" t="s">
        <v>3193</v>
      </c>
      <c r="Y4" s="1">
        <v>8123716902</v>
      </c>
      <c r="Z4" s="11" t="s">
        <v>3194</v>
      </c>
      <c r="AA4" s="1">
        <v>8123716902</v>
      </c>
      <c r="AB4" s="9"/>
      <c r="AC4" s="1" t="s">
        <v>3195</v>
      </c>
      <c r="AD4" s="1" t="s">
        <v>3190</v>
      </c>
      <c r="AE4" s="1">
        <v>8116926300</v>
      </c>
      <c r="AF4" s="11" t="s">
        <v>3196</v>
      </c>
      <c r="AG4" s="1">
        <v>8123716902</v>
      </c>
      <c r="AI4" s="11" t="s">
        <v>3795</v>
      </c>
    </row>
    <row r="5" spans="1:35" x14ac:dyDescent="0.25">
      <c r="A5" s="1" t="s">
        <v>663</v>
      </c>
      <c r="B5" s="18" t="s">
        <v>3946</v>
      </c>
      <c r="C5" s="1" t="s">
        <v>2162</v>
      </c>
      <c r="D5" s="1" t="s">
        <v>3197</v>
      </c>
      <c r="E5" s="1" t="s">
        <v>1483</v>
      </c>
      <c r="F5" s="1" t="s">
        <v>4863</v>
      </c>
      <c r="G5" s="1" t="s">
        <v>4874</v>
      </c>
      <c r="H5" s="1" t="s">
        <v>4869</v>
      </c>
      <c r="I5" s="1" t="s">
        <v>4936</v>
      </c>
      <c r="J5" s="1" t="s">
        <v>4896</v>
      </c>
      <c r="K5" s="1" t="s">
        <v>4911</v>
      </c>
      <c r="L5" s="1" t="s">
        <v>1483</v>
      </c>
      <c r="M5" s="1" t="s">
        <v>1483</v>
      </c>
      <c r="N5" s="1" t="s">
        <v>1483</v>
      </c>
      <c r="O5" s="1" t="s">
        <v>1483</v>
      </c>
      <c r="P5" s="9"/>
      <c r="Q5" s="1" t="s">
        <v>3198</v>
      </c>
      <c r="R5" s="1" t="s">
        <v>1597</v>
      </c>
      <c r="S5" s="1">
        <v>8110429645</v>
      </c>
      <c r="T5" s="11" t="s">
        <v>3199</v>
      </c>
      <c r="U5" s="1">
        <v>8110429645</v>
      </c>
      <c r="V5" s="9"/>
      <c r="W5" s="1" t="s">
        <v>3200</v>
      </c>
      <c r="X5" s="1" t="s">
        <v>3201</v>
      </c>
      <c r="Y5" s="1">
        <v>8122616305</v>
      </c>
      <c r="Z5" s="11" t="s">
        <v>3202</v>
      </c>
      <c r="AA5" s="1">
        <v>8118581658</v>
      </c>
      <c r="AB5" s="9"/>
      <c r="AC5" s="1"/>
      <c r="AD5" s="1"/>
      <c r="AE5" s="1"/>
      <c r="AF5" s="1"/>
      <c r="AG5" s="1"/>
      <c r="AI5" s="11" t="s">
        <v>3796</v>
      </c>
    </row>
    <row r="6" spans="1:35" x14ac:dyDescent="0.25">
      <c r="A6" s="1" t="s">
        <v>664</v>
      </c>
      <c r="B6" s="1"/>
      <c r="C6" s="1" t="s">
        <v>3171</v>
      </c>
      <c r="D6" s="1" t="s">
        <v>3203</v>
      </c>
      <c r="E6" s="1" t="s">
        <v>3204</v>
      </c>
      <c r="F6" s="1" t="s">
        <v>4867</v>
      </c>
      <c r="G6" s="1" t="s">
        <v>4875</v>
      </c>
      <c r="H6" s="1" t="s">
        <v>4869</v>
      </c>
      <c r="I6" s="1" t="s">
        <v>5010</v>
      </c>
      <c r="J6" s="1" t="s">
        <v>4896</v>
      </c>
      <c r="K6" s="1" t="s">
        <v>5008</v>
      </c>
      <c r="L6" s="1" t="s">
        <v>2351</v>
      </c>
      <c r="M6" s="1">
        <v>8212140350</v>
      </c>
      <c r="N6" s="11" t="s">
        <v>3205</v>
      </c>
      <c r="O6" s="1">
        <v>8211181818</v>
      </c>
      <c r="P6" s="9"/>
      <c r="Q6" s="1" t="s">
        <v>3206</v>
      </c>
      <c r="R6" s="1" t="s">
        <v>1597</v>
      </c>
      <c r="S6" s="1">
        <v>8212140350</v>
      </c>
      <c r="T6" s="11" t="s">
        <v>3207</v>
      </c>
      <c r="U6" s="1">
        <v>8211181818</v>
      </c>
      <c r="V6" s="9"/>
      <c r="W6" s="1" t="s">
        <v>3204</v>
      </c>
      <c r="X6" s="1" t="s">
        <v>2351</v>
      </c>
      <c r="Y6" s="1">
        <v>8212140350</v>
      </c>
      <c r="Z6" s="11" t="s">
        <v>3205</v>
      </c>
      <c r="AA6" s="1">
        <v>8211181818</v>
      </c>
      <c r="AB6" s="9"/>
      <c r="AC6" s="1"/>
      <c r="AD6" s="1"/>
      <c r="AE6" s="1"/>
      <c r="AF6" s="1"/>
      <c r="AG6" s="1"/>
      <c r="AI6" s="11" t="s">
        <v>3797</v>
      </c>
    </row>
    <row r="7" spans="1:35" x14ac:dyDescent="0.25">
      <c r="A7" s="1" t="s">
        <v>665</v>
      </c>
      <c r="B7" s="1"/>
      <c r="C7" s="1" t="s">
        <v>3502</v>
      </c>
      <c r="D7" s="1" t="s">
        <v>3582</v>
      </c>
      <c r="E7" s="1" t="s">
        <v>3583</v>
      </c>
      <c r="F7" s="1" t="s">
        <v>4865</v>
      </c>
      <c r="G7" s="1" t="s">
        <v>4874</v>
      </c>
      <c r="H7" s="1" t="s">
        <v>4869</v>
      </c>
      <c r="I7" s="1" t="s">
        <v>4923</v>
      </c>
      <c r="J7" s="1" t="s">
        <v>4896</v>
      </c>
      <c r="K7" s="1" t="s">
        <v>4911</v>
      </c>
      <c r="L7" s="1" t="s">
        <v>3473</v>
      </c>
      <c r="M7" s="1">
        <v>8261297792</v>
      </c>
      <c r="N7" s="11" t="s">
        <v>3584</v>
      </c>
      <c r="O7" s="1">
        <v>8261297792</v>
      </c>
      <c r="P7" s="9"/>
      <c r="Q7" s="1" t="s">
        <v>3585</v>
      </c>
      <c r="R7" s="1" t="s">
        <v>3586</v>
      </c>
      <c r="S7" s="1">
        <v>8261033137</v>
      </c>
      <c r="T7" s="11" t="s">
        <v>3587</v>
      </c>
      <c r="U7" s="1">
        <v>8261033137</v>
      </c>
      <c r="V7" s="9"/>
      <c r="W7" s="1" t="s">
        <v>3583</v>
      </c>
      <c r="X7" s="1" t="s">
        <v>3473</v>
      </c>
      <c r="Y7" s="1">
        <v>8261297792</v>
      </c>
      <c r="Z7" s="11" t="s">
        <v>3584</v>
      </c>
      <c r="AA7" s="1">
        <v>8261297792</v>
      </c>
      <c r="AB7" s="9"/>
      <c r="AC7" s="1" t="s">
        <v>3588</v>
      </c>
      <c r="AD7" s="1" t="s">
        <v>3589</v>
      </c>
      <c r="AE7" s="1">
        <v>8115310489</v>
      </c>
      <c r="AF7" s="11" t="s">
        <v>3590</v>
      </c>
      <c r="AG7" s="1">
        <v>8115310489</v>
      </c>
      <c r="AI7" s="11" t="s">
        <v>3591</v>
      </c>
    </row>
    <row r="8" spans="1:35" x14ac:dyDescent="0.25">
      <c r="A8" s="1" t="s">
        <v>666</v>
      </c>
      <c r="B8" s="18" t="s">
        <v>4962</v>
      </c>
      <c r="C8" s="1" t="s">
        <v>4490</v>
      </c>
      <c r="D8" s="1" t="s">
        <v>4791</v>
      </c>
      <c r="E8" s="1" t="s">
        <v>4792</v>
      </c>
      <c r="F8" s="1" t="s">
        <v>4865</v>
      </c>
      <c r="G8" s="1" t="s">
        <v>4873</v>
      </c>
      <c r="H8" s="1" t="s">
        <v>4869</v>
      </c>
      <c r="I8" s="1" t="s">
        <v>4918</v>
      </c>
      <c r="J8" s="1" t="s">
        <v>4896</v>
      </c>
      <c r="K8" s="1" t="s">
        <v>4911</v>
      </c>
      <c r="L8" s="1" t="s">
        <v>1482</v>
      </c>
      <c r="M8" s="1">
        <v>8141040401</v>
      </c>
      <c r="N8" s="11" t="s">
        <v>4793</v>
      </c>
      <c r="O8" s="1">
        <v>8115313826</v>
      </c>
      <c r="P8" s="9"/>
      <c r="Q8" s="1" t="s">
        <v>4792</v>
      </c>
      <c r="R8" s="1" t="s">
        <v>1482</v>
      </c>
      <c r="S8" s="1">
        <v>8141040401</v>
      </c>
      <c r="T8" s="11" t="s">
        <v>4793</v>
      </c>
      <c r="U8" s="1">
        <v>8115313826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4794</v>
      </c>
    </row>
    <row r="9" spans="1:35" x14ac:dyDescent="0.25">
      <c r="A9" s="1" t="s">
        <v>667</v>
      </c>
      <c r="B9" s="18" t="s">
        <v>4962</v>
      </c>
      <c r="C9" s="1" t="s">
        <v>4716</v>
      </c>
      <c r="D9" s="1" t="s">
        <v>4968</v>
      </c>
      <c r="E9" s="1" t="s">
        <v>4969</v>
      </c>
      <c r="F9" s="1" t="s">
        <v>4867</v>
      </c>
      <c r="G9" s="1" t="s">
        <v>4875</v>
      </c>
      <c r="H9" s="1" t="s">
        <v>4869</v>
      </c>
      <c r="I9" s="1" t="s">
        <v>4921</v>
      </c>
      <c r="J9" s="1" t="s">
        <v>4896</v>
      </c>
      <c r="K9" s="1" t="s">
        <v>4924</v>
      </c>
      <c r="L9" s="1" t="s">
        <v>4970</v>
      </c>
      <c r="M9" s="1" t="s">
        <v>4971</v>
      </c>
      <c r="N9" s="11" t="s">
        <v>4972</v>
      </c>
      <c r="O9" s="1">
        <v>8126214385</v>
      </c>
      <c r="P9" s="9"/>
      <c r="Q9" s="1" t="s">
        <v>4969</v>
      </c>
      <c r="R9" s="1" t="s">
        <v>4970</v>
      </c>
      <c r="S9" s="1" t="s">
        <v>4971</v>
      </c>
      <c r="T9" s="11" t="s">
        <v>4972</v>
      </c>
      <c r="U9" s="1">
        <v>8126214385</v>
      </c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1" t="s">
        <v>4973</v>
      </c>
    </row>
    <row r="10" spans="1:35" x14ac:dyDescent="0.25">
      <c r="A10" s="1" t="s">
        <v>668</v>
      </c>
      <c r="B10" s="18" t="s">
        <v>5041</v>
      </c>
      <c r="C10" s="1" t="s">
        <v>4375</v>
      </c>
      <c r="D10" s="1" t="s">
        <v>5040</v>
      </c>
      <c r="E10" s="1" t="s">
        <v>5042</v>
      </c>
      <c r="F10" s="1"/>
      <c r="G10" s="1"/>
      <c r="H10" s="1"/>
      <c r="I10" s="1"/>
      <c r="J10" s="1"/>
      <c r="K10" s="1"/>
      <c r="L10" s="1" t="s">
        <v>3127</v>
      </c>
      <c r="M10" s="1">
        <v>8241020685</v>
      </c>
      <c r="N10" s="11" t="s">
        <v>5043</v>
      </c>
      <c r="O10" s="1">
        <v>8241020685</v>
      </c>
      <c r="P10" s="9"/>
      <c r="Q10" s="1" t="s">
        <v>5042</v>
      </c>
      <c r="R10" s="1" t="s">
        <v>3127</v>
      </c>
      <c r="S10" s="1">
        <v>8241020685</v>
      </c>
      <c r="T10" s="11" t="s">
        <v>5043</v>
      </c>
      <c r="U10" s="1">
        <v>8241020685</v>
      </c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1" t="s">
        <v>5044</v>
      </c>
    </row>
    <row r="11" spans="1:35" x14ac:dyDescent="0.25">
      <c r="A11" s="1" t="s">
        <v>669</v>
      </c>
      <c r="B11" s="18" t="s">
        <v>5137</v>
      </c>
      <c r="C11" s="1" t="s">
        <v>5138</v>
      </c>
      <c r="D11" s="1" t="s">
        <v>5136</v>
      </c>
      <c r="E11" s="1" t="s">
        <v>5139</v>
      </c>
      <c r="F11" s="1" t="s">
        <v>4863</v>
      </c>
      <c r="G11" s="1" t="s">
        <v>4872</v>
      </c>
      <c r="H11" s="1" t="s">
        <v>4869</v>
      </c>
      <c r="I11" s="1" t="s">
        <v>5159</v>
      </c>
      <c r="J11" s="1" t="s">
        <v>4896</v>
      </c>
      <c r="K11" s="1" t="s">
        <v>4911</v>
      </c>
      <c r="L11" s="1" t="s">
        <v>3127</v>
      </c>
      <c r="M11" s="1">
        <v>8261251224</v>
      </c>
      <c r="N11" s="11" t="s">
        <v>5140</v>
      </c>
      <c r="O11" s="1">
        <v>8261251224</v>
      </c>
      <c r="P11" s="9"/>
      <c r="Q11" s="1" t="s">
        <v>5139</v>
      </c>
      <c r="R11" s="1" t="s">
        <v>3127</v>
      </c>
      <c r="S11" s="1">
        <v>8261251224</v>
      </c>
      <c r="T11" s="11" t="s">
        <v>5140</v>
      </c>
      <c r="U11" s="1">
        <v>8261251224</v>
      </c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1" t="s">
        <v>5141</v>
      </c>
    </row>
    <row r="12" spans="1:35" x14ac:dyDescent="0.25">
      <c r="A12" s="1" t="s">
        <v>670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671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672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673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674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675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676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677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678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679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680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681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682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683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684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685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686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687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688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689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690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691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692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693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694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695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696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697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698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699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700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701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702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703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704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705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706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707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708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709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SUBTOTAL(103,Tabla18[ARCHIVO])</f>
        <v>10</v>
      </c>
    </row>
  </sheetData>
  <hyperlinks>
    <hyperlink ref="N2" r:id="rId1" xr:uid="{00000000-0004-0000-0E00-000000000000}"/>
    <hyperlink ref="Z2" r:id="rId2" xr:uid="{00000000-0004-0000-0E00-000001000000}"/>
    <hyperlink ref="T2" r:id="rId3" xr:uid="{00000000-0004-0000-0E00-000002000000}"/>
    <hyperlink ref="AI2" r:id="rId4" xr:uid="{00000000-0004-0000-0E00-000003000000}"/>
    <hyperlink ref="N3" r:id="rId5" xr:uid="{00000000-0004-0000-0E00-000004000000}"/>
    <hyperlink ref="T3" r:id="rId6" xr:uid="{00000000-0004-0000-0E00-000005000000}"/>
    <hyperlink ref="Z3" r:id="rId7" xr:uid="{00000000-0004-0000-0E00-000006000000}"/>
    <hyperlink ref="AF3" r:id="rId8" xr:uid="{00000000-0004-0000-0E00-000007000000}"/>
    <hyperlink ref="AI3" r:id="rId9" xr:uid="{00000000-0004-0000-0E00-000008000000}"/>
    <hyperlink ref="N4" r:id="rId10" xr:uid="{00000000-0004-0000-0E00-000009000000}"/>
    <hyperlink ref="T4" r:id="rId11" xr:uid="{00000000-0004-0000-0E00-00000A000000}"/>
    <hyperlink ref="Z4" r:id="rId12" xr:uid="{00000000-0004-0000-0E00-00000B000000}"/>
    <hyperlink ref="AF4" r:id="rId13" xr:uid="{00000000-0004-0000-0E00-00000C000000}"/>
    <hyperlink ref="T5" r:id="rId14" xr:uid="{00000000-0004-0000-0E00-00000D000000}"/>
    <hyperlink ref="Z5" r:id="rId15" xr:uid="{00000000-0004-0000-0E00-00000E000000}"/>
    <hyperlink ref="N6" r:id="rId16" xr:uid="{00000000-0004-0000-0E00-00000F000000}"/>
    <hyperlink ref="Z6" r:id="rId17" xr:uid="{00000000-0004-0000-0E00-000010000000}"/>
    <hyperlink ref="T6" r:id="rId18" xr:uid="{00000000-0004-0000-0E00-000011000000}"/>
    <hyperlink ref="N7" r:id="rId19" xr:uid="{00000000-0004-0000-0E00-000012000000}"/>
    <hyperlink ref="T7" r:id="rId20" xr:uid="{00000000-0004-0000-0E00-000013000000}"/>
    <hyperlink ref="Z7" r:id="rId21" xr:uid="{00000000-0004-0000-0E00-000014000000}"/>
    <hyperlink ref="AF7" r:id="rId22" xr:uid="{00000000-0004-0000-0E00-000015000000}"/>
    <hyperlink ref="AI7" r:id="rId23" xr:uid="{00000000-0004-0000-0E00-000016000000}"/>
    <hyperlink ref="AI4" r:id="rId24" xr:uid="{00000000-0004-0000-0E00-000017000000}"/>
    <hyperlink ref="AI5" r:id="rId25" xr:uid="{00000000-0004-0000-0E00-000018000000}"/>
    <hyperlink ref="AI6" r:id="rId26" xr:uid="{00000000-0004-0000-0E00-000019000000}"/>
    <hyperlink ref="N8" r:id="rId27" xr:uid="{00000000-0004-0000-0E00-00001A000000}"/>
    <hyperlink ref="T8" r:id="rId28" xr:uid="{00000000-0004-0000-0E00-00001B000000}"/>
    <hyperlink ref="AI8" r:id="rId29" xr:uid="{00000000-0004-0000-0E00-00001C000000}"/>
    <hyperlink ref="N9" r:id="rId30" xr:uid="{00000000-0004-0000-0E00-00001D000000}"/>
    <hyperlink ref="T9" r:id="rId31" xr:uid="{00000000-0004-0000-0E00-00001E000000}"/>
    <hyperlink ref="AI9" r:id="rId32" xr:uid="{00000000-0004-0000-0E00-00001F000000}"/>
    <hyperlink ref="N10" r:id="rId33" xr:uid="{00000000-0004-0000-0E00-000020000000}"/>
    <hyperlink ref="T10" r:id="rId34" xr:uid="{00000000-0004-0000-0E00-000021000000}"/>
    <hyperlink ref="AI10" r:id="rId35" xr:uid="{00000000-0004-0000-0E00-000022000000}"/>
    <hyperlink ref="N11" r:id="rId36" xr:uid="{00000000-0004-0000-0E00-000023000000}"/>
    <hyperlink ref="T11" r:id="rId37" xr:uid="{00000000-0004-0000-0E00-000024000000}"/>
    <hyperlink ref="AI11" r:id="rId38" xr:uid="{00000000-0004-0000-0E00-000025000000}"/>
  </hyperlinks>
  <pageMargins left="0.7" right="0.7" top="0.75" bottom="0.75" header="0.3" footer="0.3"/>
  <pageSetup paperSize="9" orientation="portrait" r:id="rId39"/>
  <tableParts count="1">
    <tablePart r:id="rId40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E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0E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0E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0E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52"/>
  <sheetViews>
    <sheetView topLeftCell="X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4" max="4" width="24.85546875" customWidth="1"/>
    <col min="5" max="5" width="55.42578125" customWidth="1"/>
    <col min="6" max="6" width="27.28515625" customWidth="1"/>
    <col min="7" max="11" width="13.5703125" customWidth="1"/>
    <col min="12" max="12" width="28.85546875" customWidth="1"/>
    <col min="13" max="13" width="30.28515625" customWidth="1"/>
    <col min="14" max="14" width="18.7109375" bestFit="1" customWidth="1"/>
    <col min="15" max="15" width="11.140625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19" customWidth="1"/>
    <col min="21" max="21" width="12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0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0" customWidth="1"/>
    <col min="33" max="33" width="13" customWidth="1"/>
    <col min="34" max="34" width="11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710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9"/>
      <c r="Q2" s="1"/>
      <c r="R2" s="1"/>
      <c r="S2" s="1"/>
      <c r="T2" s="1"/>
      <c r="U2" s="1"/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"/>
    </row>
    <row r="3" spans="1:35" x14ac:dyDescent="0.25">
      <c r="A3" s="1" t="s">
        <v>711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9"/>
      <c r="Q3" s="1"/>
      <c r="R3" s="1"/>
      <c r="S3" s="1"/>
      <c r="T3" s="1"/>
      <c r="U3" s="1"/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"/>
    </row>
    <row r="4" spans="1:35" x14ac:dyDescent="0.25">
      <c r="A4" s="1" t="s">
        <v>712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/>
      <c r="Q4" s="1"/>
      <c r="R4" s="1"/>
      <c r="S4" s="1"/>
      <c r="T4" s="1"/>
      <c r="U4" s="1"/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"/>
    </row>
    <row r="5" spans="1:35" x14ac:dyDescent="0.25">
      <c r="A5" s="1" t="s">
        <v>713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1"/>
      <c r="R5" s="1"/>
      <c r="S5" s="1"/>
      <c r="T5" s="1"/>
      <c r="U5" s="1"/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"/>
    </row>
    <row r="6" spans="1:35" x14ac:dyDescent="0.25">
      <c r="A6" s="1" t="s">
        <v>714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  <c r="Q6" s="1"/>
      <c r="R6" s="1"/>
      <c r="S6" s="1"/>
      <c r="T6" s="1"/>
      <c r="U6" s="1"/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"/>
    </row>
    <row r="7" spans="1:35" x14ac:dyDescent="0.25">
      <c r="A7" s="1" t="s">
        <v>715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716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717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718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719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720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721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722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723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724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725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726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727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728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729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730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731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732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733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734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735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736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737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738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739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740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741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742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743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744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745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746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747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748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749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750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751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752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753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754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755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756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757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758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759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SUBTOTAL(103,Tabla19[ARCHIVO])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I52"/>
  <sheetViews>
    <sheetView topLeftCell="Y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140625" bestFit="1" customWidth="1"/>
    <col min="4" max="4" width="24.85546875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6.140625" bestFit="1" customWidth="1"/>
    <col min="10" max="11" width="13.5703125" customWidth="1"/>
    <col min="12" max="12" width="34.42578125" customWidth="1"/>
    <col min="13" max="13" width="30.28515625" customWidth="1"/>
    <col min="14" max="14" width="34.42578125" customWidth="1"/>
    <col min="15" max="15" width="12" bestFit="1" customWidth="1"/>
    <col min="16" max="16" width="11" customWidth="1"/>
    <col min="17" max="17" width="43.42578125" customWidth="1"/>
    <col min="18" max="18" width="35.28515625" bestFit="1" customWidth="1"/>
    <col min="19" max="19" width="31.28515625" customWidth="1"/>
    <col min="20" max="20" width="23.5703125" bestFit="1" customWidth="1"/>
    <col min="21" max="21" width="12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6.5703125" bestFit="1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6.5703125" bestFit="1" customWidth="1"/>
    <col min="33" max="33" width="13" customWidth="1"/>
    <col min="34" max="34" width="11.85546875" customWidth="1"/>
    <col min="35" max="35" width="47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760</v>
      </c>
      <c r="B2" s="18" t="s">
        <v>2889</v>
      </c>
      <c r="C2" s="1" t="s">
        <v>2576</v>
      </c>
      <c r="D2" s="1" t="s">
        <v>2575</v>
      </c>
      <c r="E2" s="1" t="s">
        <v>2577</v>
      </c>
      <c r="F2" s="1" t="s">
        <v>4865</v>
      </c>
      <c r="G2" s="1" t="s">
        <v>4875</v>
      </c>
      <c r="H2" s="1" t="s">
        <v>4869</v>
      </c>
      <c r="I2" s="1" t="s">
        <v>4916</v>
      </c>
      <c r="J2" s="1" t="s">
        <v>4896</v>
      </c>
      <c r="K2" s="1" t="s">
        <v>4911</v>
      </c>
      <c r="L2" s="1" t="s">
        <v>2578</v>
      </c>
      <c r="M2" s="1" t="s">
        <v>1483</v>
      </c>
      <c r="N2" s="1" t="s">
        <v>1483</v>
      </c>
      <c r="O2" s="1" t="s">
        <v>1483</v>
      </c>
      <c r="P2" s="9"/>
      <c r="Q2" s="1" t="s">
        <v>2579</v>
      </c>
      <c r="R2" s="1" t="s">
        <v>2580</v>
      </c>
      <c r="S2" s="1">
        <v>8111810259</v>
      </c>
      <c r="T2" s="1" t="s">
        <v>2581</v>
      </c>
      <c r="U2" s="1">
        <v>8111810259</v>
      </c>
      <c r="V2" s="9"/>
      <c r="W2" s="1" t="s">
        <v>2582</v>
      </c>
      <c r="X2" t="s">
        <v>2583</v>
      </c>
      <c r="Y2" s="1">
        <v>8123511818</v>
      </c>
      <c r="Z2" s="11" t="s">
        <v>2584</v>
      </c>
      <c r="AA2" s="1">
        <v>8123511818</v>
      </c>
      <c r="AB2" s="9"/>
      <c r="AC2" s="1" t="s">
        <v>2585</v>
      </c>
      <c r="AD2" s="1" t="s">
        <v>2586</v>
      </c>
      <c r="AE2" s="1">
        <v>8110163859</v>
      </c>
      <c r="AF2" s="11" t="s">
        <v>2587</v>
      </c>
      <c r="AG2" s="1">
        <v>8110163859</v>
      </c>
      <c r="AI2" s="11" t="s">
        <v>2588</v>
      </c>
    </row>
    <row r="3" spans="1:35" x14ac:dyDescent="0.25">
      <c r="A3" s="1" t="s">
        <v>761</v>
      </c>
      <c r="B3" s="18" t="s">
        <v>2890</v>
      </c>
      <c r="C3" s="1" t="s">
        <v>2259</v>
      </c>
      <c r="D3" s="1" t="s">
        <v>2781</v>
      </c>
      <c r="E3" s="1" t="s">
        <v>2589</v>
      </c>
      <c r="F3" s="1" t="s">
        <v>4865</v>
      </c>
      <c r="G3" s="1" t="s">
        <v>4873</v>
      </c>
      <c r="H3" s="1" t="s">
        <v>4868</v>
      </c>
      <c r="I3" s="1" t="s">
        <v>4950</v>
      </c>
      <c r="J3" s="1" t="s">
        <v>4896</v>
      </c>
      <c r="K3" s="1" t="s">
        <v>4911</v>
      </c>
      <c r="L3" s="1" t="s">
        <v>2590</v>
      </c>
      <c r="M3" s="1">
        <v>8186568500</v>
      </c>
      <c r="N3" s="11" t="s">
        <v>2591</v>
      </c>
      <c r="O3" s="1">
        <v>8186568500</v>
      </c>
      <c r="P3" s="9"/>
      <c r="Q3" s="1" t="s">
        <v>2589</v>
      </c>
      <c r="R3" s="1" t="s">
        <v>2590</v>
      </c>
      <c r="S3" s="1">
        <v>8186568500</v>
      </c>
      <c r="T3" s="11" t="s">
        <v>2591</v>
      </c>
      <c r="U3" s="1">
        <v>8186568500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2592</v>
      </c>
    </row>
    <row r="4" spans="1:35" x14ac:dyDescent="0.25">
      <c r="A4" s="1" t="s">
        <v>762</v>
      </c>
      <c r="B4" s="18" t="s">
        <v>2891</v>
      </c>
      <c r="C4" s="1" t="s">
        <v>2483</v>
      </c>
      <c r="D4" s="1" t="s">
        <v>2782</v>
      </c>
      <c r="E4" s="1" t="s">
        <v>2593</v>
      </c>
      <c r="F4" s="1" t="s">
        <v>4863</v>
      </c>
      <c r="G4" s="1" t="s">
        <v>4872</v>
      </c>
      <c r="H4" s="1" t="s">
        <v>4869</v>
      </c>
      <c r="I4" s="1" t="s">
        <v>4926</v>
      </c>
      <c r="J4" s="1" t="s">
        <v>4896</v>
      </c>
      <c r="K4" s="1" t="s">
        <v>4911</v>
      </c>
      <c r="L4" s="1" t="s">
        <v>1989</v>
      </c>
      <c r="M4" s="1">
        <v>8183359034</v>
      </c>
      <c r="N4" s="11" t="s">
        <v>2594</v>
      </c>
      <c r="O4" s="1">
        <v>8110554553</v>
      </c>
      <c r="P4" s="9"/>
      <c r="Q4" s="1" t="s">
        <v>3877</v>
      </c>
      <c r="R4" s="1" t="s">
        <v>1989</v>
      </c>
      <c r="S4" s="1">
        <v>8183359034</v>
      </c>
      <c r="T4" s="11" t="s">
        <v>2594</v>
      </c>
      <c r="U4" s="1">
        <v>8110554553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1"/>
      <c r="AG4" s="1"/>
      <c r="AI4" s="11" t="s">
        <v>2595</v>
      </c>
    </row>
    <row r="5" spans="1:35" x14ac:dyDescent="0.25">
      <c r="A5" s="1" t="s">
        <v>763</v>
      </c>
      <c r="B5" s="1"/>
      <c r="C5" s="1" t="s">
        <v>2970</v>
      </c>
      <c r="D5" s="1" t="s">
        <v>3208</v>
      </c>
      <c r="E5" s="1" t="s">
        <v>3209</v>
      </c>
      <c r="F5" s="1" t="s">
        <v>4865</v>
      </c>
      <c r="G5" s="1" t="s">
        <v>4874</v>
      </c>
      <c r="H5" s="1" t="s">
        <v>4869</v>
      </c>
      <c r="I5" s="1" t="s">
        <v>4922</v>
      </c>
      <c r="J5" s="1" t="s">
        <v>4896</v>
      </c>
      <c r="K5" s="1" t="s">
        <v>4911</v>
      </c>
      <c r="L5" s="1" t="s">
        <v>3027</v>
      </c>
      <c r="M5" s="1">
        <v>8121003912</v>
      </c>
      <c r="N5" s="11" t="s">
        <v>3210</v>
      </c>
      <c r="O5" s="1">
        <v>8121003912</v>
      </c>
      <c r="P5" s="9"/>
      <c r="Q5" s="1" t="s">
        <v>3209</v>
      </c>
      <c r="R5" s="1" t="s">
        <v>3027</v>
      </c>
      <c r="S5" s="1">
        <v>8121003912</v>
      </c>
      <c r="T5" s="11" t="s">
        <v>3210</v>
      </c>
      <c r="U5" s="1">
        <v>8121003912</v>
      </c>
      <c r="V5" s="9"/>
      <c r="W5" s="1" t="s">
        <v>3211</v>
      </c>
      <c r="X5" s="1" t="s">
        <v>3027</v>
      </c>
      <c r="Y5" s="1">
        <v>8181617074</v>
      </c>
      <c r="Z5" s="11" t="s">
        <v>3212</v>
      </c>
      <c r="AA5" s="1">
        <v>8181617074</v>
      </c>
      <c r="AB5" s="9"/>
      <c r="AC5" s="1"/>
      <c r="AD5" s="1"/>
      <c r="AE5" s="1"/>
      <c r="AF5" s="1"/>
      <c r="AG5" s="1"/>
      <c r="AI5" s="11" t="s">
        <v>3798</v>
      </c>
    </row>
    <row r="6" spans="1:35" x14ac:dyDescent="0.25">
      <c r="A6" s="1" t="s">
        <v>764</v>
      </c>
      <c r="B6" s="18" t="s">
        <v>3948</v>
      </c>
      <c r="C6" s="1" t="s">
        <v>3688</v>
      </c>
      <c r="D6" s="31" t="s">
        <v>3747</v>
      </c>
      <c r="E6" s="1" t="s">
        <v>3748</v>
      </c>
      <c r="F6" s="1" t="s">
        <v>4867</v>
      </c>
      <c r="G6" s="1" t="s">
        <v>4875</v>
      </c>
      <c r="H6" s="1" t="s">
        <v>4869</v>
      </c>
      <c r="I6" s="1" t="s">
        <v>4918</v>
      </c>
      <c r="J6" s="1" t="s">
        <v>4896</v>
      </c>
      <c r="K6" s="1" t="s">
        <v>4911</v>
      </c>
      <c r="L6" s="1" t="s">
        <v>3749</v>
      </c>
      <c r="M6" s="1">
        <v>8115995993</v>
      </c>
      <c r="N6" s="11" t="s">
        <v>3750</v>
      </c>
      <c r="O6" s="1">
        <v>8115995993</v>
      </c>
      <c r="P6" s="9"/>
      <c r="Q6" s="1" t="s">
        <v>3748</v>
      </c>
      <c r="R6" s="1" t="s">
        <v>3749</v>
      </c>
      <c r="S6" s="1">
        <v>8115995993</v>
      </c>
      <c r="T6" s="11" t="s">
        <v>3750</v>
      </c>
      <c r="U6" s="1">
        <v>8115995993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3751</v>
      </c>
    </row>
    <row r="7" spans="1:35" x14ac:dyDescent="0.25">
      <c r="A7" s="1" t="s">
        <v>765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766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767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768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769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770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771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772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773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774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775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776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777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778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779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780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781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782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783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784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785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786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787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788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789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790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791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792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793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794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795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796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797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798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799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800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801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802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803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804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805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806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807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808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809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SUBTOTAL(103,Tabla20[ARCHIVO])</f>
        <v>5</v>
      </c>
    </row>
  </sheetData>
  <hyperlinks>
    <hyperlink ref="Z2" r:id="rId1" xr:uid="{00000000-0004-0000-1000-000000000000}"/>
    <hyperlink ref="AF2" r:id="rId2" xr:uid="{00000000-0004-0000-1000-000001000000}"/>
    <hyperlink ref="AI2" r:id="rId3" xr:uid="{00000000-0004-0000-1000-000002000000}"/>
    <hyperlink ref="N3" r:id="rId4" xr:uid="{00000000-0004-0000-1000-000003000000}"/>
    <hyperlink ref="T3" r:id="rId5" xr:uid="{00000000-0004-0000-1000-000004000000}"/>
    <hyperlink ref="AI3" r:id="rId6" xr:uid="{00000000-0004-0000-1000-000005000000}"/>
    <hyperlink ref="N4" r:id="rId7" xr:uid="{00000000-0004-0000-1000-000006000000}"/>
    <hyperlink ref="AI4" r:id="rId8" xr:uid="{00000000-0004-0000-1000-000007000000}"/>
    <hyperlink ref="N5" r:id="rId9" xr:uid="{00000000-0004-0000-1000-000008000000}"/>
    <hyperlink ref="Z5" r:id="rId10" xr:uid="{00000000-0004-0000-1000-000009000000}"/>
    <hyperlink ref="T5" r:id="rId11" xr:uid="{00000000-0004-0000-1000-00000A000000}"/>
    <hyperlink ref="N6" r:id="rId12" xr:uid="{00000000-0004-0000-1000-00000B000000}"/>
    <hyperlink ref="T6" r:id="rId13" xr:uid="{00000000-0004-0000-1000-00000C000000}"/>
    <hyperlink ref="AI6" r:id="rId14" xr:uid="{00000000-0004-0000-1000-00000D000000}"/>
    <hyperlink ref="AI5" r:id="rId15" xr:uid="{00000000-0004-0000-1000-00000E000000}"/>
    <hyperlink ref="T4" r:id="rId16" xr:uid="{00000000-0004-0000-1000-00000F000000}"/>
  </hyperlinks>
  <pageMargins left="0.7" right="0.7" top="0.75" bottom="0.75" header="0.3" footer="0.3"/>
  <pageSetup paperSize="9" orientation="portrait" r:id="rId17"/>
  <tableParts count="1">
    <tablePart r:id="rId18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0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0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0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0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52"/>
  <sheetViews>
    <sheetView topLeftCell="AF1" zoomScale="90" zoomScaleNormal="90" workbookViewId="0">
      <selection activeCell="AI30" sqref="AI30"/>
    </sheetView>
  </sheetViews>
  <sheetFormatPr baseColWidth="10" defaultRowHeight="15" x14ac:dyDescent="0.25"/>
  <cols>
    <col min="1" max="1" width="7" customWidth="1"/>
    <col min="2" max="2" width="16.140625" customWidth="1"/>
    <col min="3" max="3" width="22.42578125" bestFit="1" customWidth="1"/>
    <col min="4" max="4" width="53.140625" bestFit="1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23.85546875" bestFit="1" customWidth="1"/>
    <col min="10" max="10" width="13.5703125" customWidth="1"/>
    <col min="11" max="11" width="19.7109375" bestFit="1" customWidth="1"/>
    <col min="12" max="12" width="31.7109375" bestFit="1" customWidth="1"/>
    <col min="13" max="13" width="30.28515625" customWidth="1"/>
    <col min="14" max="14" width="42.28515625" bestFit="1" customWidth="1"/>
    <col min="15" max="15" width="12.140625" customWidth="1"/>
    <col min="16" max="16" width="11" customWidth="1"/>
    <col min="17" max="17" width="43.42578125" customWidth="1"/>
    <col min="18" max="18" width="49.7109375" customWidth="1"/>
    <col min="19" max="19" width="31.28515625" customWidth="1"/>
    <col min="20" max="20" width="41.5703125" bestFit="1" customWidth="1"/>
    <col min="21" max="21" width="12" bestFit="1" customWidth="1"/>
    <col min="22" max="22" width="11" customWidth="1"/>
    <col min="23" max="23" width="44.42578125" customWidth="1"/>
    <col min="24" max="24" width="44.140625" bestFit="1" customWidth="1"/>
    <col min="25" max="25" width="31.28515625" customWidth="1"/>
    <col min="26" max="26" width="37.140625" bestFit="1" customWidth="1"/>
    <col min="27" max="27" width="13" customWidth="1"/>
    <col min="28" max="28" width="11.85546875" customWidth="1"/>
    <col min="29" max="29" width="45.42578125" customWidth="1"/>
    <col min="30" max="30" width="46.42578125" bestFit="1" customWidth="1"/>
    <col min="31" max="31" width="32.28515625" customWidth="1"/>
    <col min="32" max="32" width="27.5703125" bestFit="1" customWidth="1"/>
    <col min="33" max="33" width="13" customWidth="1"/>
    <col min="34" max="34" width="11.85546875" customWidth="1"/>
    <col min="35" max="35" width="68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810</v>
      </c>
      <c r="B2" s="18" t="s">
        <v>2892</v>
      </c>
      <c r="C2" s="1" t="s">
        <v>1446</v>
      </c>
      <c r="D2" s="1" t="s">
        <v>1603</v>
      </c>
      <c r="E2" s="1" t="s">
        <v>1604</v>
      </c>
      <c r="F2" s="37" t="s">
        <v>4867</v>
      </c>
      <c r="G2" s="15" t="s">
        <v>4875</v>
      </c>
      <c r="H2" s="15" t="s">
        <v>4869</v>
      </c>
      <c r="I2" s="15" t="s">
        <v>4920</v>
      </c>
      <c r="J2" s="15" t="s">
        <v>4896</v>
      </c>
      <c r="K2" s="15" t="s">
        <v>4924</v>
      </c>
      <c r="L2" s="1" t="s">
        <v>1606</v>
      </c>
      <c r="M2" s="1" t="s">
        <v>1483</v>
      </c>
      <c r="N2" s="1" t="s">
        <v>1483</v>
      </c>
      <c r="O2" s="1" t="s">
        <v>1483</v>
      </c>
      <c r="P2" s="9"/>
      <c r="Q2" s="1" t="s">
        <v>1608</v>
      </c>
      <c r="R2" s="1" t="s">
        <v>1607</v>
      </c>
      <c r="S2" s="1">
        <v>8181566010</v>
      </c>
      <c r="T2" s="11" t="s">
        <v>1605</v>
      </c>
      <c r="U2" s="1">
        <v>8115520874</v>
      </c>
      <c r="V2" s="9"/>
      <c r="W2" s="1" t="s">
        <v>1609</v>
      </c>
      <c r="X2" s="1" t="s">
        <v>1607</v>
      </c>
      <c r="Y2" s="1">
        <v>8118006473</v>
      </c>
      <c r="Z2" s="11" t="s">
        <v>1610</v>
      </c>
      <c r="AA2" s="1">
        <v>8118006473</v>
      </c>
      <c r="AB2" s="9"/>
      <c r="AC2" s="1"/>
      <c r="AD2" s="1"/>
      <c r="AE2" s="1"/>
      <c r="AF2" s="1"/>
      <c r="AG2" s="1"/>
      <c r="AI2" s="11" t="s">
        <v>1611</v>
      </c>
    </row>
    <row r="3" spans="1:35" x14ac:dyDescent="0.25">
      <c r="A3" s="1" t="s">
        <v>811</v>
      </c>
      <c r="B3" s="18" t="s">
        <v>2893</v>
      </c>
      <c r="C3" s="1" t="s">
        <v>1613</v>
      </c>
      <c r="D3" s="1" t="s">
        <v>1612</v>
      </c>
      <c r="E3" s="1" t="s">
        <v>1614</v>
      </c>
      <c r="F3" s="1" t="s">
        <v>4865</v>
      </c>
      <c r="G3" s="1" t="s">
        <v>4873</v>
      </c>
      <c r="H3" s="1" t="s">
        <v>4869</v>
      </c>
      <c r="I3" s="1" t="s">
        <v>4926</v>
      </c>
      <c r="J3" s="1" t="s">
        <v>4896</v>
      </c>
      <c r="K3" s="1" t="s">
        <v>4911</v>
      </c>
      <c r="L3" s="1" t="s">
        <v>1615</v>
      </c>
      <c r="M3" s="1">
        <v>8112976541</v>
      </c>
      <c r="N3" s="11" t="s">
        <v>1616</v>
      </c>
      <c r="O3" s="1">
        <v>8117326291</v>
      </c>
      <c r="P3" s="9"/>
      <c r="Q3" s="1" t="s">
        <v>1614</v>
      </c>
      <c r="R3" s="1" t="s">
        <v>1615</v>
      </c>
      <c r="S3" s="1">
        <v>8112976541</v>
      </c>
      <c r="T3" s="11" t="s">
        <v>1616</v>
      </c>
      <c r="U3" s="1">
        <v>8117326291</v>
      </c>
      <c r="V3" s="9"/>
      <c r="W3" s="1" t="s">
        <v>1617</v>
      </c>
      <c r="X3" s="1" t="s">
        <v>1511</v>
      </c>
      <c r="Y3" s="1">
        <v>8112976541</v>
      </c>
      <c r="Z3" s="11" t="s">
        <v>1618</v>
      </c>
      <c r="AA3" s="1">
        <v>8123917136</v>
      </c>
      <c r="AB3" s="9"/>
      <c r="AC3" s="1"/>
      <c r="AD3" s="1"/>
      <c r="AE3" s="1"/>
      <c r="AF3" s="1"/>
      <c r="AG3" s="1"/>
      <c r="AI3" s="11" t="s">
        <v>1619</v>
      </c>
    </row>
    <row r="4" spans="1:35" x14ac:dyDescent="0.25">
      <c r="A4" s="1" t="s">
        <v>812</v>
      </c>
      <c r="B4" s="18" t="s">
        <v>2894</v>
      </c>
      <c r="C4" s="1" t="s">
        <v>1446</v>
      </c>
      <c r="D4" s="1" t="s">
        <v>1620</v>
      </c>
      <c r="E4" s="1" t="s">
        <v>1621</v>
      </c>
      <c r="F4" s="1" t="s">
        <v>4863</v>
      </c>
      <c r="G4" s="1" t="s">
        <v>4874</v>
      </c>
      <c r="H4" s="1" t="s">
        <v>4869</v>
      </c>
      <c r="I4" s="1" t="s">
        <v>4926</v>
      </c>
      <c r="J4" s="1" t="s">
        <v>4896</v>
      </c>
      <c r="K4" s="1" t="s">
        <v>4911</v>
      </c>
      <c r="L4" s="1" t="s">
        <v>1622</v>
      </c>
      <c r="M4" s="1">
        <v>8114920690</v>
      </c>
      <c r="N4" s="11" t="s">
        <v>1623</v>
      </c>
      <c r="O4" s="1">
        <v>818680048</v>
      </c>
      <c r="P4" s="9"/>
      <c r="Q4" s="1" t="s">
        <v>1621</v>
      </c>
      <c r="R4" s="1" t="s">
        <v>1622</v>
      </c>
      <c r="S4" s="1">
        <v>8114920690</v>
      </c>
      <c r="T4" s="11" t="s">
        <v>1623</v>
      </c>
      <c r="U4" s="1">
        <v>818680048</v>
      </c>
      <c r="V4" s="9"/>
      <c r="W4" s="1" t="s">
        <v>1624</v>
      </c>
      <c r="X4" s="1" t="s">
        <v>1625</v>
      </c>
      <c r="Y4" s="1">
        <v>8114920690</v>
      </c>
      <c r="Z4" s="11" t="s">
        <v>1629</v>
      </c>
      <c r="AA4" s="1">
        <v>8187787212</v>
      </c>
      <c r="AB4" s="9"/>
      <c r="AC4" s="1" t="s">
        <v>1626</v>
      </c>
      <c r="AD4" s="1" t="s">
        <v>1627</v>
      </c>
      <c r="AE4" s="1">
        <v>8114920690</v>
      </c>
      <c r="AF4" s="11" t="s">
        <v>1628</v>
      </c>
      <c r="AG4" s="1">
        <v>8119102400</v>
      </c>
      <c r="AI4" s="11" t="s">
        <v>1630</v>
      </c>
    </row>
    <row r="5" spans="1:35" x14ac:dyDescent="0.25">
      <c r="A5" s="1" t="s">
        <v>813</v>
      </c>
      <c r="B5" s="18" t="s">
        <v>4004</v>
      </c>
      <c r="C5" s="1" t="s">
        <v>1410</v>
      </c>
      <c r="D5" s="1" t="s">
        <v>1631</v>
      </c>
      <c r="E5" s="1" t="s">
        <v>1632</v>
      </c>
      <c r="F5" s="1" t="s">
        <v>4865</v>
      </c>
      <c r="G5" s="1" t="s">
        <v>4873</v>
      </c>
      <c r="H5" s="1" t="s">
        <v>4869</v>
      </c>
      <c r="I5" s="1" t="s">
        <v>4926</v>
      </c>
      <c r="J5" s="1" t="s">
        <v>4896</v>
      </c>
      <c r="K5" s="1" t="s">
        <v>4911</v>
      </c>
      <c r="L5" s="1" t="s">
        <v>1482</v>
      </c>
      <c r="M5" s="1">
        <v>8123940325</v>
      </c>
      <c r="N5" s="11" t="s">
        <v>1633</v>
      </c>
      <c r="O5" s="1">
        <v>8123940325</v>
      </c>
      <c r="P5" s="9"/>
      <c r="Q5" s="1" t="s">
        <v>1632</v>
      </c>
      <c r="R5" s="1" t="s">
        <v>1482</v>
      </c>
      <c r="S5" s="1">
        <v>8123940325</v>
      </c>
      <c r="T5" s="11" t="s">
        <v>1633</v>
      </c>
      <c r="U5" s="1">
        <v>8123940325</v>
      </c>
      <c r="V5" s="9"/>
      <c r="W5" s="1" t="s">
        <v>1634</v>
      </c>
      <c r="X5" s="1" t="s">
        <v>1635</v>
      </c>
      <c r="Y5" s="1">
        <v>8134022541</v>
      </c>
      <c r="Z5" s="11" t="s">
        <v>1636</v>
      </c>
      <c r="AA5" s="1">
        <v>8134022541</v>
      </c>
      <c r="AB5" s="9"/>
      <c r="AC5" s="1" t="s">
        <v>1637</v>
      </c>
      <c r="AD5" s="1" t="s">
        <v>1499</v>
      </c>
      <c r="AE5" s="1">
        <v>813434847</v>
      </c>
      <c r="AF5" s="11" t="s">
        <v>1638</v>
      </c>
      <c r="AG5" s="1">
        <v>8110806497</v>
      </c>
      <c r="AI5" s="11" t="s">
        <v>1639</v>
      </c>
    </row>
    <row r="6" spans="1:35" x14ac:dyDescent="0.25">
      <c r="A6" s="1" t="s">
        <v>814</v>
      </c>
      <c r="B6" s="18" t="s">
        <v>2895</v>
      </c>
      <c r="C6" s="1" t="s">
        <v>2004</v>
      </c>
      <c r="D6" s="1" t="s">
        <v>2003</v>
      </c>
      <c r="E6" s="1" t="s">
        <v>2005</v>
      </c>
      <c r="F6" s="1" t="s">
        <v>4864</v>
      </c>
      <c r="G6" s="1" t="s">
        <v>4875</v>
      </c>
      <c r="H6" s="1" t="s">
        <v>4869</v>
      </c>
      <c r="I6" s="1" t="s">
        <v>4925</v>
      </c>
      <c r="J6" s="1" t="s">
        <v>4896</v>
      </c>
      <c r="K6" s="1" t="s">
        <v>4931</v>
      </c>
      <c r="L6" s="1" t="s">
        <v>2006</v>
      </c>
      <c r="M6" s="1">
        <v>8112524660</v>
      </c>
      <c r="N6" s="11" t="s">
        <v>2007</v>
      </c>
      <c r="O6" s="1">
        <v>8112524660</v>
      </c>
      <c r="P6" s="9"/>
      <c r="Q6" s="1" t="s">
        <v>2005</v>
      </c>
      <c r="R6" s="1" t="s">
        <v>2006</v>
      </c>
      <c r="S6" s="1">
        <v>8112524660</v>
      </c>
      <c r="T6" s="11" t="s">
        <v>2007</v>
      </c>
      <c r="U6" s="1">
        <v>8112524660</v>
      </c>
      <c r="V6" s="9"/>
      <c r="W6" s="1" t="s">
        <v>2008</v>
      </c>
      <c r="X6" s="1" t="s">
        <v>2009</v>
      </c>
      <c r="Y6" s="1">
        <v>8120938027</v>
      </c>
      <c r="Z6" s="11" t="s">
        <v>2010</v>
      </c>
      <c r="AA6" s="1">
        <v>8120938027</v>
      </c>
      <c r="AB6" s="9"/>
      <c r="AC6" s="1"/>
      <c r="AD6" s="1"/>
      <c r="AE6" s="1"/>
      <c r="AF6" s="1"/>
      <c r="AG6" s="1"/>
      <c r="AI6" s="11" t="s">
        <v>2011</v>
      </c>
    </row>
    <row r="7" spans="1:35" x14ac:dyDescent="0.25">
      <c r="A7" s="1" t="s">
        <v>815</v>
      </c>
      <c r="B7" s="18" t="s">
        <v>2896</v>
      </c>
      <c r="C7" s="1" t="s">
        <v>1839</v>
      </c>
      <c r="D7" s="1" t="s">
        <v>2032</v>
      </c>
      <c r="E7" s="1" t="s">
        <v>2033</v>
      </c>
      <c r="F7" s="1" t="s">
        <v>4865</v>
      </c>
      <c r="G7" s="1" t="s">
        <v>4875</v>
      </c>
      <c r="H7" s="1" t="s">
        <v>4869</v>
      </c>
      <c r="I7" s="1" t="s">
        <v>4951</v>
      </c>
      <c r="J7" s="1" t="s">
        <v>4896</v>
      </c>
      <c r="K7" s="1" t="s">
        <v>4924</v>
      </c>
      <c r="L7" s="1" t="s">
        <v>1453</v>
      </c>
      <c r="M7" s="1">
        <v>8118001907</v>
      </c>
      <c r="N7" s="11" t="s">
        <v>2034</v>
      </c>
      <c r="O7" s="1">
        <v>8118001907</v>
      </c>
      <c r="P7" s="9"/>
      <c r="Q7" s="1" t="s">
        <v>2035</v>
      </c>
      <c r="R7" s="1" t="s">
        <v>2036</v>
      </c>
      <c r="S7" s="1">
        <v>8180952452</v>
      </c>
      <c r="T7" s="11" t="s">
        <v>2037</v>
      </c>
      <c r="U7" s="1">
        <v>8180952452</v>
      </c>
      <c r="V7" s="9"/>
      <c r="W7" s="1" t="s">
        <v>2038</v>
      </c>
      <c r="X7" s="1" t="s">
        <v>1468</v>
      </c>
      <c r="Y7" s="1">
        <v>8115398282</v>
      </c>
      <c r="Z7" s="11" t="s">
        <v>2039</v>
      </c>
      <c r="AA7" s="1">
        <v>8115398282</v>
      </c>
      <c r="AB7" s="9"/>
      <c r="AC7" s="1" t="s">
        <v>2033</v>
      </c>
      <c r="AD7" s="1" t="s">
        <v>1453</v>
      </c>
      <c r="AE7" s="1">
        <v>8118001907</v>
      </c>
      <c r="AF7" s="11" t="s">
        <v>2034</v>
      </c>
      <c r="AG7" s="1">
        <v>8118001907</v>
      </c>
      <c r="AI7" s="11" t="s">
        <v>2040</v>
      </c>
    </row>
    <row r="8" spans="1:35" x14ac:dyDescent="0.25">
      <c r="A8" s="1" t="s">
        <v>816</v>
      </c>
      <c r="B8" s="18" t="s">
        <v>2897</v>
      </c>
      <c r="C8" s="1" t="s">
        <v>1434</v>
      </c>
      <c r="D8" s="1" t="s">
        <v>2041</v>
      </c>
      <c r="E8" s="1" t="s">
        <v>2042</v>
      </c>
      <c r="F8" s="1" t="s">
        <v>4863</v>
      </c>
      <c r="G8" s="1" t="s">
        <v>4874</v>
      </c>
      <c r="H8" s="1" t="s">
        <v>4869</v>
      </c>
      <c r="I8" s="1" t="s">
        <v>4944</v>
      </c>
      <c r="J8" s="1" t="s">
        <v>4896</v>
      </c>
      <c r="K8" s="1" t="s">
        <v>4952</v>
      </c>
      <c r="L8" s="1" t="s">
        <v>1499</v>
      </c>
      <c r="M8" s="1">
        <v>8182746544</v>
      </c>
      <c r="N8" s="11" t="s">
        <v>2043</v>
      </c>
      <c r="O8" s="1" t="s">
        <v>1483</v>
      </c>
      <c r="P8" s="9"/>
      <c r="Q8" s="1" t="s">
        <v>2044</v>
      </c>
      <c r="R8" s="1" t="s">
        <v>2045</v>
      </c>
      <c r="S8" s="1">
        <v>8110757130</v>
      </c>
      <c r="T8" s="11" t="s">
        <v>2046</v>
      </c>
      <c r="U8" s="1" t="s">
        <v>1483</v>
      </c>
      <c r="V8" s="9"/>
      <c r="W8" s="1" t="s">
        <v>2042</v>
      </c>
      <c r="X8" s="1" t="s">
        <v>1499</v>
      </c>
      <c r="Y8" s="1">
        <v>8182746544</v>
      </c>
      <c r="Z8" s="11" t="s">
        <v>2043</v>
      </c>
      <c r="AA8" s="1" t="s">
        <v>1483</v>
      </c>
      <c r="AB8" s="9"/>
      <c r="AC8" s="1"/>
      <c r="AD8" s="1"/>
      <c r="AE8" s="1"/>
      <c r="AF8" s="1"/>
      <c r="AG8" s="1"/>
      <c r="AI8" s="11" t="s">
        <v>2047</v>
      </c>
    </row>
    <row r="9" spans="1:35" x14ac:dyDescent="0.25">
      <c r="A9" s="1" t="s">
        <v>817</v>
      </c>
      <c r="B9" s="18" t="s">
        <v>2898</v>
      </c>
      <c r="C9" s="1" t="s">
        <v>1839</v>
      </c>
      <c r="D9" s="1" t="s">
        <v>2048</v>
      </c>
      <c r="E9" s="1" t="s">
        <v>2049</v>
      </c>
      <c r="F9" s="1" t="s">
        <v>4864</v>
      </c>
      <c r="G9" s="1" t="s">
        <v>4874</v>
      </c>
      <c r="H9" s="1" t="s">
        <v>4869</v>
      </c>
      <c r="I9" s="1" t="s">
        <v>4923</v>
      </c>
      <c r="J9" s="1" t="s">
        <v>4896</v>
      </c>
      <c r="K9" s="1" t="s">
        <v>4911</v>
      </c>
      <c r="L9" s="1" t="s">
        <v>1453</v>
      </c>
      <c r="M9" s="1" t="s">
        <v>2050</v>
      </c>
      <c r="N9" s="11" t="s">
        <v>2051</v>
      </c>
      <c r="O9" s="1">
        <v>8115242122</v>
      </c>
      <c r="P9" s="9"/>
      <c r="Q9" s="1" t="s">
        <v>2049</v>
      </c>
      <c r="R9" s="1" t="s">
        <v>1453</v>
      </c>
      <c r="S9" s="1" t="s">
        <v>2050</v>
      </c>
      <c r="T9" s="11" t="s">
        <v>2051</v>
      </c>
      <c r="U9" s="1">
        <v>8115242122</v>
      </c>
      <c r="V9" s="9"/>
      <c r="W9" s="1" t="s">
        <v>2052</v>
      </c>
      <c r="X9" s="1" t="s">
        <v>2053</v>
      </c>
      <c r="Y9" s="1" t="s">
        <v>2054</v>
      </c>
      <c r="Z9" s="11" t="s">
        <v>2055</v>
      </c>
      <c r="AA9" s="1">
        <v>8124665673</v>
      </c>
      <c r="AB9" s="9"/>
      <c r="AC9" s="1" t="s">
        <v>2056</v>
      </c>
      <c r="AD9" s="1" t="s">
        <v>2057</v>
      </c>
      <c r="AE9" s="1" t="s">
        <v>2058</v>
      </c>
      <c r="AF9" s="11" t="s">
        <v>2059</v>
      </c>
      <c r="AG9" s="1">
        <v>8147382403</v>
      </c>
      <c r="AI9" s="11" t="s">
        <v>2060</v>
      </c>
    </row>
    <row r="10" spans="1:35" x14ac:dyDescent="0.25">
      <c r="A10" s="1" t="s">
        <v>818</v>
      </c>
      <c r="B10" s="1"/>
      <c r="C10" s="1" t="s">
        <v>1991</v>
      </c>
      <c r="D10" s="1" t="s">
        <v>4062</v>
      </c>
      <c r="E10" s="1" t="s">
        <v>2061</v>
      </c>
      <c r="F10" s="1" t="s">
        <v>4863</v>
      </c>
      <c r="G10" s="1" t="s">
        <v>4875</v>
      </c>
      <c r="H10" s="1" t="s">
        <v>4871</v>
      </c>
      <c r="I10" s="1" t="s">
        <v>4948</v>
      </c>
      <c r="J10" s="1" t="s">
        <v>4896</v>
      </c>
      <c r="K10" s="1" t="s">
        <v>5008</v>
      </c>
      <c r="L10" s="1" t="s">
        <v>2062</v>
      </c>
      <c r="M10" s="1">
        <v>8144741467</v>
      </c>
      <c r="N10" s="11" t="s">
        <v>2063</v>
      </c>
      <c r="O10" s="1">
        <v>8211114790</v>
      </c>
      <c r="P10" s="9"/>
      <c r="Q10" s="1" t="s">
        <v>2061</v>
      </c>
      <c r="R10" s="1" t="s">
        <v>2062</v>
      </c>
      <c r="S10" s="1">
        <v>8144741467</v>
      </c>
      <c r="T10" s="11" t="s">
        <v>2063</v>
      </c>
      <c r="U10" s="1">
        <v>8211114790</v>
      </c>
      <c r="V10" s="9"/>
      <c r="W10" s="1" t="s">
        <v>2064</v>
      </c>
      <c r="X10" s="1" t="s">
        <v>2065</v>
      </c>
      <c r="Y10" s="1">
        <v>8144741467</v>
      </c>
      <c r="Z10" s="11" t="s">
        <v>2066</v>
      </c>
      <c r="AA10" s="1">
        <v>8180240329</v>
      </c>
      <c r="AB10" s="9"/>
      <c r="AC10" s="1"/>
      <c r="AD10" s="1"/>
      <c r="AE10" s="1"/>
      <c r="AF10" s="1"/>
      <c r="AG10" s="1"/>
      <c r="AI10" s="11" t="s">
        <v>4063</v>
      </c>
    </row>
    <row r="11" spans="1:35" x14ac:dyDescent="0.25">
      <c r="A11" s="1" t="s">
        <v>819</v>
      </c>
      <c r="B11" s="18" t="s">
        <v>3953</v>
      </c>
      <c r="C11" s="1" t="s">
        <v>3182</v>
      </c>
      <c r="D11" s="1" t="s">
        <v>3215</v>
      </c>
      <c r="E11" s="1" t="s">
        <v>3213</v>
      </c>
      <c r="F11" s="1" t="s">
        <v>4863</v>
      </c>
      <c r="G11" s="1" t="s">
        <v>4873</v>
      </c>
      <c r="H11" s="1" t="s">
        <v>4869</v>
      </c>
      <c r="I11" s="1" t="s">
        <v>5010</v>
      </c>
      <c r="J11" s="1" t="s">
        <v>4896</v>
      </c>
      <c r="K11" s="1" t="s">
        <v>4911</v>
      </c>
      <c r="L11" s="1" t="s">
        <v>3214</v>
      </c>
      <c r="M11" s="1">
        <v>8211452516</v>
      </c>
      <c r="N11" s="11" t="s">
        <v>3216</v>
      </c>
      <c r="O11" s="1">
        <v>8211420909</v>
      </c>
      <c r="P11" s="9"/>
      <c r="Q11" s="1" t="s">
        <v>3213</v>
      </c>
      <c r="R11" s="1" t="s">
        <v>3214</v>
      </c>
      <c r="S11" s="1">
        <v>8211452516</v>
      </c>
      <c r="T11" s="11" t="s">
        <v>3216</v>
      </c>
      <c r="U11" s="1">
        <v>8211420909</v>
      </c>
      <c r="V11" s="9"/>
      <c r="W11" s="1" t="s">
        <v>3217</v>
      </c>
      <c r="X11" s="1" t="s">
        <v>1989</v>
      </c>
      <c r="Y11" s="1">
        <v>8211415992</v>
      </c>
      <c r="Z11" s="11" t="s">
        <v>3216</v>
      </c>
      <c r="AA11" s="1">
        <v>8211452516</v>
      </c>
      <c r="AB11" s="9"/>
      <c r="AC11" s="1" t="s">
        <v>3218</v>
      </c>
      <c r="AD11" s="1" t="s">
        <v>2689</v>
      </c>
      <c r="AE11" s="1">
        <v>8211025585</v>
      </c>
      <c r="AF11" s="11" t="s">
        <v>3216</v>
      </c>
      <c r="AG11" s="1">
        <v>8211025585</v>
      </c>
      <c r="AI11" s="11" t="s">
        <v>3799</v>
      </c>
    </row>
    <row r="12" spans="1:35" x14ac:dyDescent="0.25">
      <c r="A12" s="1" t="s">
        <v>820</v>
      </c>
      <c r="B12" s="18" t="s">
        <v>3952</v>
      </c>
      <c r="C12" s="1" t="s">
        <v>3222</v>
      </c>
      <c r="D12" s="1" t="s">
        <v>3219</v>
      </c>
      <c r="E12" s="1" t="s">
        <v>3220</v>
      </c>
      <c r="F12" s="1" t="s">
        <v>4865</v>
      </c>
      <c r="G12" s="1" t="s">
        <v>4872</v>
      </c>
      <c r="H12" s="1" t="s">
        <v>4869</v>
      </c>
      <c r="I12" s="1" t="s">
        <v>4933</v>
      </c>
      <c r="J12" s="1" t="s">
        <v>4896</v>
      </c>
      <c r="K12" s="1" t="s">
        <v>4911</v>
      </c>
      <c r="L12" s="1" t="s">
        <v>2689</v>
      </c>
      <c r="M12" s="1">
        <v>8117744513</v>
      </c>
      <c r="N12" s="11" t="s">
        <v>3221</v>
      </c>
      <c r="O12" s="1">
        <v>8117744513</v>
      </c>
      <c r="P12" s="9"/>
      <c r="Q12" s="1" t="s">
        <v>3220</v>
      </c>
      <c r="R12" s="1" t="s">
        <v>2689</v>
      </c>
      <c r="S12" s="1">
        <v>8117744513</v>
      </c>
      <c r="T12" s="11" t="s">
        <v>3221</v>
      </c>
      <c r="U12" s="1">
        <v>8117744513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3800</v>
      </c>
    </row>
    <row r="13" spans="1:35" x14ac:dyDescent="0.25">
      <c r="A13" s="1" t="s">
        <v>821</v>
      </c>
      <c r="B13" s="18" t="s">
        <v>3951</v>
      </c>
      <c r="C13" s="1" t="s">
        <v>3223</v>
      </c>
      <c r="D13" s="1" t="s">
        <v>3224</v>
      </c>
      <c r="E13" s="1" t="s">
        <v>3225</v>
      </c>
      <c r="F13" s="1" t="s">
        <v>4863</v>
      </c>
      <c r="G13" s="1" t="s">
        <v>4872</v>
      </c>
      <c r="H13" s="1" t="s">
        <v>4869</v>
      </c>
      <c r="I13" s="1" t="s">
        <v>5091</v>
      </c>
      <c r="J13" s="1" t="s">
        <v>4896</v>
      </c>
      <c r="K13" s="1" t="s">
        <v>4911</v>
      </c>
      <c r="L13" s="1" t="s">
        <v>2689</v>
      </c>
      <c r="M13" s="1">
        <v>8111641881</v>
      </c>
      <c r="N13" s="11" t="s">
        <v>3226</v>
      </c>
      <c r="O13" s="1">
        <v>8180929797</v>
      </c>
      <c r="P13" s="9"/>
      <c r="Q13" s="1" t="s">
        <v>3225</v>
      </c>
      <c r="R13" s="1" t="s">
        <v>3027</v>
      </c>
      <c r="S13" s="1">
        <v>8111641881</v>
      </c>
      <c r="T13" s="11" t="s">
        <v>3228</v>
      </c>
      <c r="U13" s="1">
        <v>8115001166</v>
      </c>
      <c r="V13" s="9"/>
      <c r="W13" s="1" t="s">
        <v>3227</v>
      </c>
      <c r="X13" s="1" t="s">
        <v>2689</v>
      </c>
      <c r="Y13" s="1">
        <v>8111641881</v>
      </c>
      <c r="Z13" s="11" t="s">
        <v>3226</v>
      </c>
      <c r="AA13" s="1">
        <v>8180929797</v>
      </c>
      <c r="AB13" s="9"/>
      <c r="AC13" s="1" t="s">
        <v>3229</v>
      </c>
      <c r="AD13" s="1" t="s">
        <v>2351</v>
      </c>
      <c r="AE13" s="1">
        <v>8111641881</v>
      </c>
      <c r="AF13" s="11" t="s">
        <v>3230</v>
      </c>
      <c r="AG13" s="1">
        <v>8110305162</v>
      </c>
      <c r="AI13" s="11" t="s">
        <v>3801</v>
      </c>
    </row>
    <row r="14" spans="1:35" x14ac:dyDescent="0.25">
      <c r="A14" s="1" t="s">
        <v>822</v>
      </c>
      <c r="B14" s="18" t="s">
        <v>3950</v>
      </c>
      <c r="C14" s="1" t="s">
        <v>3231</v>
      </c>
      <c r="D14" s="1" t="s">
        <v>3232</v>
      </c>
      <c r="E14" s="1" t="s">
        <v>3233</v>
      </c>
      <c r="F14" s="1" t="s">
        <v>4863</v>
      </c>
      <c r="G14" s="1" t="s">
        <v>4872</v>
      </c>
      <c r="H14" s="1" t="s">
        <v>4869</v>
      </c>
      <c r="I14" s="1" t="s">
        <v>4933</v>
      </c>
      <c r="J14" s="1" t="s">
        <v>4896</v>
      </c>
      <c r="K14" s="1" t="s">
        <v>4911</v>
      </c>
      <c r="L14" s="1" t="s">
        <v>3234</v>
      </c>
      <c r="M14" s="1">
        <v>8121365432</v>
      </c>
      <c r="N14" s="11" t="s">
        <v>3235</v>
      </c>
      <c r="O14" s="1">
        <v>8120329089</v>
      </c>
      <c r="P14" s="9"/>
      <c r="Q14" s="1" t="s">
        <v>3233</v>
      </c>
      <c r="R14" s="1" t="s">
        <v>3234</v>
      </c>
      <c r="S14" s="1">
        <v>8121365432</v>
      </c>
      <c r="T14" s="11" t="s">
        <v>3235</v>
      </c>
      <c r="U14" s="1">
        <v>8120329089</v>
      </c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1" t="s">
        <v>3802</v>
      </c>
    </row>
    <row r="15" spans="1:35" x14ac:dyDescent="0.25">
      <c r="A15" s="1" t="s">
        <v>823</v>
      </c>
      <c r="B15" s="1"/>
      <c r="C15" s="1" t="s">
        <v>2013</v>
      </c>
      <c r="D15" s="1" t="s">
        <v>3236</v>
      </c>
      <c r="E15" s="1" t="s">
        <v>3237</v>
      </c>
      <c r="F15" s="1" t="s">
        <v>4863</v>
      </c>
      <c r="G15" s="1" t="s">
        <v>4875</v>
      </c>
      <c r="H15" s="1" t="s">
        <v>4871</v>
      </c>
      <c r="I15" s="1" t="s">
        <v>4948</v>
      </c>
      <c r="J15" s="1" t="s">
        <v>4896</v>
      </c>
      <c r="K15" s="1" t="s">
        <v>4911</v>
      </c>
      <c r="L15" s="1" t="s">
        <v>3027</v>
      </c>
      <c r="M15" s="1">
        <v>8241028235</v>
      </c>
      <c r="N15" s="11" t="s">
        <v>3238</v>
      </c>
      <c r="O15" s="1">
        <v>8241028235</v>
      </c>
      <c r="P15" s="9"/>
      <c r="Q15" s="1" t="s">
        <v>3237</v>
      </c>
      <c r="R15" s="1" t="s">
        <v>3027</v>
      </c>
      <c r="S15" s="1">
        <v>8241028235</v>
      </c>
      <c r="T15" s="11" t="s">
        <v>3238</v>
      </c>
      <c r="U15" s="1">
        <v>8241028235</v>
      </c>
      <c r="V15" s="9"/>
      <c r="W15" s="1" t="s">
        <v>3239</v>
      </c>
      <c r="X15" s="1" t="s">
        <v>3240</v>
      </c>
      <c r="Y15" s="1">
        <v>8241112178</v>
      </c>
      <c r="Z15" s="11" t="s">
        <v>3241</v>
      </c>
      <c r="AA15" s="1">
        <v>8241112178</v>
      </c>
      <c r="AB15" s="9"/>
      <c r="AC15" s="1"/>
      <c r="AD15" s="1"/>
      <c r="AE15" s="1"/>
      <c r="AF15" s="1"/>
      <c r="AG15" s="1"/>
      <c r="AI15" s="11" t="s">
        <v>3803</v>
      </c>
    </row>
    <row r="16" spans="1:35" x14ac:dyDescent="0.25">
      <c r="A16" s="1" t="s">
        <v>824</v>
      </c>
      <c r="B16" s="18" t="s">
        <v>4003</v>
      </c>
      <c r="C16" s="1" t="s">
        <v>2931</v>
      </c>
      <c r="D16" s="1" t="s">
        <v>3242</v>
      </c>
      <c r="E16" s="1"/>
      <c r="F16" s="1" t="s">
        <v>4863</v>
      </c>
      <c r="G16" s="1" t="s">
        <v>4872</v>
      </c>
      <c r="H16" s="1" t="s">
        <v>4869</v>
      </c>
      <c r="I16" s="1" t="s">
        <v>5010</v>
      </c>
      <c r="J16" s="1" t="s">
        <v>4896</v>
      </c>
      <c r="K16" s="1" t="s">
        <v>4911</v>
      </c>
      <c r="L16" s="1"/>
      <c r="M16" s="1"/>
      <c r="N16" s="1"/>
      <c r="O16" s="1"/>
      <c r="P16" s="9"/>
      <c r="Q16" s="1" t="s">
        <v>3243</v>
      </c>
      <c r="R16" s="1" t="s">
        <v>1597</v>
      </c>
      <c r="S16" s="1">
        <v>8211025391</v>
      </c>
      <c r="T16" s="11" t="s">
        <v>3244</v>
      </c>
      <c r="U16" s="1">
        <v>8211025391</v>
      </c>
      <c r="V16" s="9"/>
      <c r="W16" s="1" t="s">
        <v>3245</v>
      </c>
      <c r="X16" s="1" t="s">
        <v>3246</v>
      </c>
      <c r="Y16" s="1">
        <v>8211458008</v>
      </c>
      <c r="Z16" s="11" t="s">
        <v>3247</v>
      </c>
      <c r="AA16" s="1">
        <v>8211458008</v>
      </c>
      <c r="AB16" s="9"/>
      <c r="AC16" s="1"/>
      <c r="AD16" s="1"/>
      <c r="AE16" s="1"/>
      <c r="AF16" s="1"/>
      <c r="AG16" s="1"/>
      <c r="AI16" s="11" t="s">
        <v>3804</v>
      </c>
    </row>
    <row r="17" spans="1:35" x14ac:dyDescent="0.25">
      <c r="A17" s="1" t="s">
        <v>825</v>
      </c>
      <c r="B17" s="18" t="s">
        <v>3949</v>
      </c>
      <c r="C17" s="1" t="s">
        <v>3482</v>
      </c>
      <c r="D17" s="1" t="s">
        <v>3592</v>
      </c>
      <c r="E17" s="1" t="s">
        <v>3593</v>
      </c>
      <c r="F17" s="1" t="s">
        <v>4865</v>
      </c>
      <c r="G17" s="1" t="s">
        <v>4874</v>
      </c>
      <c r="H17" s="1" t="s">
        <v>4869</v>
      </c>
      <c r="I17" s="1" t="s">
        <v>4923</v>
      </c>
      <c r="J17" s="1" t="s">
        <v>4896</v>
      </c>
      <c r="K17" s="1" t="s">
        <v>4924</v>
      </c>
      <c r="L17" s="1" t="s">
        <v>3594</v>
      </c>
      <c r="M17" s="1">
        <v>8125972247</v>
      </c>
      <c r="N17" s="11" t="s">
        <v>3595</v>
      </c>
      <c r="O17" s="1">
        <v>8125972247</v>
      </c>
      <c r="P17" s="9"/>
      <c r="Q17" s="1" t="s">
        <v>3593</v>
      </c>
      <c r="R17" s="1" t="s">
        <v>3594</v>
      </c>
      <c r="S17" s="1">
        <v>8125972247</v>
      </c>
      <c r="T17" s="11" t="s">
        <v>3595</v>
      </c>
      <c r="U17" s="1">
        <v>8125972247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3596</v>
      </c>
    </row>
    <row r="18" spans="1:35" x14ac:dyDescent="0.25">
      <c r="A18" s="1" t="s">
        <v>826</v>
      </c>
      <c r="B18" s="18" t="s">
        <v>4002</v>
      </c>
      <c r="C18" s="1" t="s">
        <v>3502</v>
      </c>
      <c r="D18" s="1" t="s">
        <v>3694</v>
      </c>
      <c r="E18" s="1" t="s">
        <v>3695</v>
      </c>
      <c r="F18" s="1" t="s">
        <v>4865</v>
      </c>
      <c r="G18" s="1" t="s">
        <v>4874</v>
      </c>
      <c r="H18" s="1" t="s">
        <v>4869</v>
      </c>
      <c r="I18" s="1" t="s">
        <v>4920</v>
      </c>
      <c r="J18" s="1" t="s">
        <v>4896</v>
      </c>
      <c r="K18" s="1" t="s">
        <v>4911</v>
      </c>
      <c r="L18" s="1" t="s">
        <v>3696</v>
      </c>
      <c r="M18" s="1" t="s">
        <v>3697</v>
      </c>
      <c r="N18" s="11" t="s">
        <v>3698</v>
      </c>
      <c r="O18" s="1">
        <v>8112170918</v>
      </c>
      <c r="P18" s="9"/>
      <c r="Q18" s="1" t="s">
        <v>3657</v>
      </c>
      <c r="R18" s="1" t="s">
        <v>3699</v>
      </c>
      <c r="S18" s="1">
        <v>8115042152</v>
      </c>
      <c r="T18" s="11" t="s">
        <v>3020</v>
      </c>
      <c r="U18" s="1" t="s">
        <v>1483</v>
      </c>
      <c r="V18" s="9"/>
      <c r="W18" s="1" t="s">
        <v>3695</v>
      </c>
      <c r="X18" s="1" t="s">
        <v>3696</v>
      </c>
      <c r="Y18" s="1" t="s">
        <v>3697</v>
      </c>
      <c r="Z18" s="11" t="s">
        <v>3698</v>
      </c>
      <c r="AA18" s="1">
        <v>8112170918</v>
      </c>
      <c r="AB18" s="9"/>
      <c r="AC18" s="1" t="s">
        <v>3700</v>
      </c>
      <c r="AD18" s="1" t="s">
        <v>3701</v>
      </c>
      <c r="AE18" s="1" t="s">
        <v>3702</v>
      </c>
      <c r="AF18" s="11" t="s">
        <v>3703</v>
      </c>
      <c r="AG18" s="1">
        <v>8125135747</v>
      </c>
      <c r="AI18" s="11" t="s">
        <v>5039</v>
      </c>
    </row>
    <row r="19" spans="1:35" x14ac:dyDescent="0.25">
      <c r="A19" s="1" t="s">
        <v>827</v>
      </c>
      <c r="B19" s="33" t="s">
        <v>4055</v>
      </c>
      <c r="C19" s="1" t="s">
        <v>3464</v>
      </c>
      <c r="D19" s="1" t="s">
        <v>4050</v>
      </c>
      <c r="E19" s="1" t="s">
        <v>4051</v>
      </c>
      <c r="F19" s="1" t="s">
        <v>4865</v>
      </c>
      <c r="G19" s="1" t="s">
        <v>4875</v>
      </c>
      <c r="H19" s="1" t="s">
        <v>4869</v>
      </c>
      <c r="I19" s="1" t="s">
        <v>4923</v>
      </c>
      <c r="J19" s="1" t="s">
        <v>4896</v>
      </c>
      <c r="K19" s="1" t="s">
        <v>4943</v>
      </c>
      <c r="L19" s="1" t="s">
        <v>2689</v>
      </c>
      <c r="M19" s="1">
        <v>8183450055</v>
      </c>
      <c r="N19" s="11" t="s">
        <v>4053</v>
      </c>
      <c r="O19" s="1" t="s">
        <v>1483</v>
      </c>
      <c r="P19" s="9"/>
      <c r="Q19" s="1" t="s">
        <v>4051</v>
      </c>
      <c r="R19" s="1" t="s">
        <v>4052</v>
      </c>
      <c r="S19" s="1">
        <v>8183450055</v>
      </c>
      <c r="T19" s="11" t="s">
        <v>4053</v>
      </c>
      <c r="U19" s="1" t="s">
        <v>1483</v>
      </c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1" t="s">
        <v>4054</v>
      </c>
    </row>
    <row r="20" spans="1:35" x14ac:dyDescent="0.25">
      <c r="A20" s="1" t="s">
        <v>828</v>
      </c>
      <c r="B20" s="1"/>
      <c r="C20" s="1" t="s">
        <v>4273</v>
      </c>
      <c r="D20" s="1" t="s">
        <v>4272</v>
      </c>
      <c r="E20" s="1" t="s">
        <v>4274</v>
      </c>
      <c r="F20" s="1" t="s">
        <v>4867</v>
      </c>
      <c r="G20" s="1" t="s">
        <v>4875</v>
      </c>
      <c r="H20" s="1" t="s">
        <v>4869</v>
      </c>
      <c r="I20" s="1" t="s">
        <v>4921</v>
      </c>
      <c r="J20" s="1" t="s">
        <v>4896</v>
      </c>
      <c r="K20" s="1" t="s">
        <v>4911</v>
      </c>
      <c r="L20" s="1" t="s">
        <v>3731</v>
      </c>
      <c r="M20" s="1">
        <v>7821334239</v>
      </c>
      <c r="N20" s="11" t="s">
        <v>4275</v>
      </c>
      <c r="O20" s="1">
        <v>7821334239</v>
      </c>
      <c r="P20" s="9"/>
      <c r="Q20" s="1" t="s">
        <v>4274</v>
      </c>
      <c r="R20" s="1" t="s">
        <v>3731</v>
      </c>
      <c r="S20" s="1">
        <v>7821334239</v>
      </c>
      <c r="T20" s="11" t="s">
        <v>4275</v>
      </c>
      <c r="U20" s="1">
        <v>7821334239</v>
      </c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1" t="s">
        <v>4276</v>
      </c>
    </row>
    <row r="21" spans="1:35" x14ac:dyDescent="0.25">
      <c r="A21" s="1" t="s">
        <v>829</v>
      </c>
      <c r="B21" s="18" t="s">
        <v>4359</v>
      </c>
      <c r="C21" s="1" t="s">
        <v>4273</v>
      </c>
      <c r="D21" s="1" t="s">
        <v>4358</v>
      </c>
      <c r="E21" s="1" t="s">
        <v>4360</v>
      </c>
      <c r="F21" s="1" t="s">
        <v>4863</v>
      </c>
      <c r="G21" s="1" t="s">
        <v>4873</v>
      </c>
      <c r="H21" s="1" t="s">
        <v>4869</v>
      </c>
      <c r="I21" s="1" t="s">
        <v>5010</v>
      </c>
      <c r="J21" s="1" t="s">
        <v>4896</v>
      </c>
      <c r="K21" s="1" t="s">
        <v>4911</v>
      </c>
      <c r="L21" s="1" t="s">
        <v>2194</v>
      </c>
      <c r="M21" s="1">
        <v>8183678822</v>
      </c>
      <c r="N21" s="11" t="s">
        <v>4361</v>
      </c>
      <c r="O21" s="1">
        <v>8110509561</v>
      </c>
      <c r="P21" s="9"/>
      <c r="Q21" s="1" t="s">
        <v>4360</v>
      </c>
      <c r="R21" s="1" t="s">
        <v>2194</v>
      </c>
      <c r="S21" s="1">
        <v>8183678822</v>
      </c>
      <c r="T21" s="11" t="s">
        <v>4361</v>
      </c>
      <c r="U21" s="1">
        <v>8110509561</v>
      </c>
      <c r="V21" s="9"/>
      <c r="W21" s="1"/>
      <c r="X21" s="1"/>
      <c r="Y21" s="1"/>
      <c r="Z21" s="1"/>
      <c r="AA21" s="1"/>
      <c r="AB21" s="9"/>
      <c r="AC21" s="1"/>
      <c r="AD21" s="1"/>
      <c r="AE21" s="1"/>
      <c r="AF21" s="11"/>
      <c r="AG21" s="1"/>
      <c r="AI21" s="11" t="s">
        <v>4362</v>
      </c>
    </row>
    <row r="22" spans="1:35" x14ac:dyDescent="0.25">
      <c r="A22" s="1" t="s">
        <v>830</v>
      </c>
      <c r="B22" s="1"/>
      <c r="C22" s="1" t="s">
        <v>4375</v>
      </c>
      <c r="D22" s="1" t="s">
        <v>4374</v>
      </c>
      <c r="E22" s="1" t="s">
        <v>4376</v>
      </c>
      <c r="F22" s="1" t="s">
        <v>4865</v>
      </c>
      <c r="G22" s="1" t="s">
        <v>4874</v>
      </c>
      <c r="H22" s="1" t="s">
        <v>4869</v>
      </c>
      <c r="I22" s="1" t="s">
        <v>4949</v>
      </c>
      <c r="J22" s="1" t="s">
        <v>4896</v>
      </c>
      <c r="K22" s="1" t="s">
        <v>4911</v>
      </c>
      <c r="L22" s="1" t="s">
        <v>1989</v>
      </c>
      <c r="M22" s="1">
        <v>8115537221</v>
      </c>
      <c r="N22" s="11" t="s">
        <v>4377</v>
      </c>
      <c r="O22" s="1">
        <v>8115537221</v>
      </c>
      <c r="P22" s="9"/>
      <c r="Q22" s="1" t="s">
        <v>4376</v>
      </c>
      <c r="R22" s="1" t="s">
        <v>1989</v>
      </c>
      <c r="S22" s="1">
        <v>8115537221</v>
      </c>
      <c r="T22" s="11" t="s">
        <v>4377</v>
      </c>
      <c r="U22" s="1">
        <v>8115537221</v>
      </c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1" t="s">
        <v>4378</v>
      </c>
    </row>
    <row r="23" spans="1:35" x14ac:dyDescent="0.25">
      <c r="A23" s="1" t="s">
        <v>831</v>
      </c>
      <c r="B23" s="18" t="s">
        <v>4426</v>
      </c>
      <c r="C23" s="1" t="s">
        <v>4375</v>
      </c>
      <c r="D23" s="1" t="s">
        <v>4425</v>
      </c>
      <c r="E23" s="1" t="s">
        <v>4427</v>
      </c>
      <c r="F23" s="1" t="s">
        <v>4867</v>
      </c>
      <c r="G23" s="1" t="s">
        <v>4875</v>
      </c>
      <c r="H23" s="1" t="s">
        <v>4869</v>
      </c>
      <c r="I23" s="1" t="s">
        <v>5092</v>
      </c>
      <c r="J23" s="1" t="s">
        <v>4896</v>
      </c>
      <c r="K23" s="1" t="s">
        <v>4924</v>
      </c>
      <c r="L23" s="1" t="s">
        <v>1483</v>
      </c>
      <c r="M23" s="1" t="s">
        <v>1483</v>
      </c>
      <c r="N23" s="1" t="s">
        <v>1483</v>
      </c>
      <c r="O23" s="1" t="s">
        <v>1483</v>
      </c>
      <c r="P23" s="9"/>
      <c r="Q23" s="1" t="s">
        <v>4428</v>
      </c>
      <c r="R23" s="1" t="s">
        <v>4429</v>
      </c>
      <c r="S23" s="1">
        <v>8110451643</v>
      </c>
      <c r="T23" s="11" t="s">
        <v>4430</v>
      </c>
      <c r="U23" s="1">
        <v>8110451643</v>
      </c>
      <c r="V23" s="9"/>
      <c r="W23" s="1" t="s">
        <v>4431</v>
      </c>
      <c r="X23" s="1" t="s">
        <v>4429</v>
      </c>
      <c r="Y23" s="1">
        <v>8117404348</v>
      </c>
      <c r="Z23" s="11" t="s">
        <v>4432</v>
      </c>
      <c r="AA23" s="1">
        <v>8117404348</v>
      </c>
      <c r="AB23" s="9"/>
      <c r="AC23" s="1" t="s">
        <v>4433</v>
      </c>
      <c r="AD23" s="1" t="s">
        <v>4434</v>
      </c>
      <c r="AE23" s="1">
        <v>8112549044</v>
      </c>
      <c r="AF23" s="11" t="s">
        <v>4435</v>
      </c>
      <c r="AG23" s="1">
        <v>8112549044</v>
      </c>
      <c r="AI23" s="11" t="s">
        <v>4436</v>
      </c>
    </row>
    <row r="24" spans="1:35" x14ac:dyDescent="0.25">
      <c r="A24" s="1" t="s">
        <v>832</v>
      </c>
      <c r="B24" s="18" t="s">
        <v>4438</v>
      </c>
      <c r="C24" s="1" t="s">
        <v>4375</v>
      </c>
      <c r="D24" s="1" t="s">
        <v>4437</v>
      </c>
      <c r="E24" s="1" t="s">
        <v>4439</v>
      </c>
      <c r="F24" s="1" t="s">
        <v>4867</v>
      </c>
      <c r="G24" s="1" t="s">
        <v>4875</v>
      </c>
      <c r="H24" s="1" t="s">
        <v>4869</v>
      </c>
      <c r="I24" s="1" t="s">
        <v>5094</v>
      </c>
      <c r="J24" s="1" t="s">
        <v>4905</v>
      </c>
      <c r="K24" s="1" t="s">
        <v>5093</v>
      </c>
      <c r="L24" s="1" t="s">
        <v>4440</v>
      </c>
      <c r="M24" s="1" t="s">
        <v>1483</v>
      </c>
      <c r="N24" s="1" t="s">
        <v>1483</v>
      </c>
      <c r="O24" s="1" t="s">
        <v>1483</v>
      </c>
      <c r="P24" s="9"/>
      <c r="Q24" s="1" t="s">
        <v>4441</v>
      </c>
      <c r="R24" s="1" t="s">
        <v>4442</v>
      </c>
      <c r="S24" s="36" t="s">
        <v>4444</v>
      </c>
      <c r="T24" s="11" t="s">
        <v>4445</v>
      </c>
      <c r="U24" s="1">
        <v>8331850894</v>
      </c>
      <c r="V24" s="9"/>
      <c r="W24" s="1" t="s">
        <v>4446</v>
      </c>
      <c r="X24" s="1" t="s">
        <v>4447</v>
      </c>
      <c r="Y24" s="36" t="s">
        <v>4443</v>
      </c>
      <c r="Z24" s="11" t="s">
        <v>4448</v>
      </c>
      <c r="AA24" s="1">
        <v>8331850894</v>
      </c>
      <c r="AB24" s="9"/>
      <c r="AC24" s="1"/>
      <c r="AD24" s="1"/>
      <c r="AE24" s="1"/>
      <c r="AF24" s="1"/>
      <c r="AG24" s="1"/>
      <c r="AI24" s="11" t="s">
        <v>4449</v>
      </c>
    </row>
    <row r="25" spans="1:35" x14ac:dyDescent="0.25">
      <c r="A25" s="1" t="s">
        <v>833</v>
      </c>
      <c r="B25" s="18" t="s">
        <v>4451</v>
      </c>
      <c r="C25" s="1" t="s">
        <v>4375</v>
      </c>
      <c r="D25" s="1" t="s">
        <v>4450</v>
      </c>
      <c r="E25" s="1" t="s">
        <v>4452</v>
      </c>
      <c r="F25" s="1" t="s">
        <v>4865</v>
      </c>
      <c r="G25" s="1" t="s">
        <v>4874</v>
      </c>
      <c r="H25" s="1" t="s">
        <v>4869</v>
      </c>
      <c r="I25" s="1" t="s">
        <v>4918</v>
      </c>
      <c r="J25" s="1" t="s">
        <v>4896</v>
      </c>
      <c r="K25" s="1" t="s">
        <v>4911</v>
      </c>
      <c r="L25" s="1" t="s">
        <v>1453</v>
      </c>
      <c r="M25" s="1">
        <v>8117243646</v>
      </c>
      <c r="N25" s="11" t="s">
        <v>4453</v>
      </c>
      <c r="O25" s="1">
        <v>8117243646</v>
      </c>
      <c r="P25" s="9"/>
      <c r="Q25" s="1" t="s">
        <v>4452</v>
      </c>
      <c r="R25" s="1" t="s">
        <v>1453</v>
      </c>
      <c r="S25" s="1">
        <v>8117243646</v>
      </c>
      <c r="T25" s="11" t="s">
        <v>4453</v>
      </c>
      <c r="U25" s="1">
        <v>8117243646</v>
      </c>
      <c r="V25" s="9"/>
      <c r="W25" s="1" t="s">
        <v>4454</v>
      </c>
      <c r="X25" s="1" t="s">
        <v>1822</v>
      </c>
      <c r="Y25" s="1">
        <v>8129250482</v>
      </c>
      <c r="Z25" s="11" t="s">
        <v>4455</v>
      </c>
      <c r="AA25" s="1">
        <v>8129250482</v>
      </c>
      <c r="AB25" s="9"/>
      <c r="AC25" s="1"/>
      <c r="AD25" s="1"/>
      <c r="AE25" s="1"/>
      <c r="AF25" s="1"/>
      <c r="AG25" s="1"/>
      <c r="AI25" s="11" t="s">
        <v>4456</v>
      </c>
    </row>
    <row r="26" spans="1:35" x14ac:dyDescent="0.25">
      <c r="A26" s="1" t="s">
        <v>834</v>
      </c>
      <c r="B26" s="1"/>
      <c r="C26" s="1" t="s">
        <v>4375</v>
      </c>
      <c r="D26" s="1" t="s">
        <v>4795</v>
      </c>
      <c r="E26" s="1" t="s">
        <v>4796</v>
      </c>
      <c r="F26" s="1" t="s">
        <v>4865</v>
      </c>
      <c r="G26" s="1" t="s">
        <v>4874</v>
      </c>
      <c r="H26" s="1" t="s">
        <v>4869</v>
      </c>
      <c r="I26" s="1" t="s">
        <v>4918</v>
      </c>
      <c r="J26" s="1" t="s">
        <v>4896</v>
      </c>
      <c r="K26" s="1" t="s">
        <v>4911</v>
      </c>
      <c r="L26" s="1" t="s">
        <v>1368</v>
      </c>
      <c r="M26" s="1">
        <v>81123165006</v>
      </c>
      <c r="N26" s="11" t="s">
        <v>4797</v>
      </c>
      <c r="O26" s="1">
        <v>8115774737</v>
      </c>
      <c r="P26" s="9"/>
      <c r="Q26" s="1" t="s">
        <v>4796</v>
      </c>
      <c r="R26" s="1" t="s">
        <v>1368</v>
      </c>
      <c r="S26" s="1">
        <v>81123165006</v>
      </c>
      <c r="T26" s="11" t="s">
        <v>4797</v>
      </c>
      <c r="U26" s="1">
        <v>8115774737</v>
      </c>
      <c r="V26" s="9"/>
      <c r="W26" s="1" t="s">
        <v>4798</v>
      </c>
      <c r="X26" s="1" t="s">
        <v>4236</v>
      </c>
      <c r="Y26" s="1">
        <v>81123165006</v>
      </c>
      <c r="Z26" s="11" t="s">
        <v>4799</v>
      </c>
      <c r="AA26" s="1">
        <v>8116124449</v>
      </c>
      <c r="AB26" s="9"/>
      <c r="AC26" s="1"/>
      <c r="AD26" s="1"/>
      <c r="AE26" s="1"/>
      <c r="AF26" s="1"/>
      <c r="AG26" s="1"/>
      <c r="AI26" s="11" t="s">
        <v>4803</v>
      </c>
    </row>
    <row r="27" spans="1:35" x14ac:dyDescent="0.25">
      <c r="A27" s="1" t="s">
        <v>835</v>
      </c>
      <c r="B27" s="1"/>
      <c r="C27" s="1" t="s">
        <v>4375</v>
      </c>
      <c r="D27" s="1" t="s">
        <v>4800</v>
      </c>
      <c r="E27" s="1" t="s">
        <v>4801</v>
      </c>
      <c r="F27" s="1" t="s">
        <v>4867</v>
      </c>
      <c r="G27" s="1" t="s">
        <v>4875</v>
      </c>
      <c r="H27" s="1" t="s">
        <v>4869</v>
      </c>
      <c r="I27" s="1" t="s">
        <v>4949</v>
      </c>
      <c r="J27" s="1" t="s">
        <v>4896</v>
      </c>
      <c r="K27" s="1" t="s">
        <v>4911</v>
      </c>
      <c r="L27" s="1" t="s">
        <v>4629</v>
      </c>
      <c r="M27" s="1">
        <v>8991017690</v>
      </c>
      <c r="N27" s="11" t="s">
        <v>4802</v>
      </c>
      <c r="O27" s="1">
        <v>8991017690</v>
      </c>
      <c r="P27" s="9"/>
      <c r="Q27" s="1" t="s">
        <v>4801</v>
      </c>
      <c r="R27" s="1" t="s">
        <v>4629</v>
      </c>
      <c r="S27" s="1">
        <v>8991017690</v>
      </c>
      <c r="T27" s="11" t="s">
        <v>4802</v>
      </c>
      <c r="U27" s="1">
        <v>8991017690</v>
      </c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1" t="s">
        <v>4804</v>
      </c>
    </row>
    <row r="28" spans="1:35" x14ac:dyDescent="0.25">
      <c r="A28" s="1" t="s">
        <v>836</v>
      </c>
      <c r="B28" s="18" t="s">
        <v>4975</v>
      </c>
      <c r="C28" s="1" t="s">
        <v>4490</v>
      </c>
      <c r="D28" s="1" t="s">
        <v>4974</v>
      </c>
      <c r="E28" s="1" t="s">
        <v>4976</v>
      </c>
      <c r="F28" s="1" t="s">
        <v>4863</v>
      </c>
      <c r="G28" s="1" t="s">
        <v>4872</v>
      </c>
      <c r="H28" s="1" t="s">
        <v>4869</v>
      </c>
      <c r="I28" s="1" t="s">
        <v>5010</v>
      </c>
      <c r="J28" s="1" t="s">
        <v>4896</v>
      </c>
      <c r="K28" s="1" t="s">
        <v>4911</v>
      </c>
      <c r="L28" s="1" t="s">
        <v>4977</v>
      </c>
      <c r="M28" s="1">
        <v>8921006167</v>
      </c>
      <c r="N28" s="11" t="s">
        <v>4978</v>
      </c>
      <c r="O28" s="1">
        <v>8921006167</v>
      </c>
      <c r="P28" s="9"/>
      <c r="Q28" s="1" t="s">
        <v>4976</v>
      </c>
      <c r="R28" s="1" t="s">
        <v>4977</v>
      </c>
      <c r="S28" s="1">
        <v>8921006167</v>
      </c>
      <c r="T28" s="11" t="s">
        <v>4978</v>
      </c>
      <c r="U28" s="1">
        <v>8921006167</v>
      </c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1" t="s">
        <v>4979</v>
      </c>
    </row>
    <row r="29" spans="1:35" x14ac:dyDescent="0.25">
      <c r="A29" s="1" t="s">
        <v>837</v>
      </c>
      <c r="B29" s="18" t="s">
        <v>5162</v>
      </c>
      <c r="C29" s="1" t="s">
        <v>5161</v>
      </c>
      <c r="D29" s="1" t="s">
        <v>5160</v>
      </c>
      <c r="E29" s="1" t="s">
        <v>5163</v>
      </c>
      <c r="F29" s="1"/>
      <c r="G29" s="1"/>
      <c r="H29" s="1"/>
      <c r="I29" s="1"/>
      <c r="J29" s="1"/>
      <c r="K29" s="1"/>
      <c r="L29" s="1" t="s">
        <v>4987</v>
      </c>
      <c r="M29" s="1">
        <v>8120738555</v>
      </c>
      <c r="N29" s="11" t="s">
        <v>5164</v>
      </c>
      <c r="O29" s="1">
        <v>8120738555</v>
      </c>
      <c r="P29" s="9"/>
      <c r="Q29" s="1" t="s">
        <v>5163</v>
      </c>
      <c r="R29" s="1" t="s">
        <v>4987</v>
      </c>
      <c r="S29" s="1">
        <v>8120738555</v>
      </c>
      <c r="T29" s="11" t="s">
        <v>5164</v>
      </c>
      <c r="U29" s="1">
        <v>8120738555</v>
      </c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1" t="s">
        <v>5165</v>
      </c>
    </row>
    <row r="30" spans="1:35" x14ac:dyDescent="0.25">
      <c r="A30" s="1" t="s">
        <v>838</v>
      </c>
      <c r="B30" s="1"/>
      <c r="C30" s="1" t="s">
        <v>5302</v>
      </c>
      <c r="D30" s="1" t="s">
        <v>5303</v>
      </c>
      <c r="E30" s="1" t="s">
        <v>5304</v>
      </c>
      <c r="F30" s="1"/>
      <c r="G30" s="1"/>
      <c r="H30" s="1"/>
      <c r="I30" s="1"/>
      <c r="J30" s="1"/>
      <c r="K30" s="1"/>
      <c r="L30" s="1" t="s">
        <v>1398</v>
      </c>
      <c r="M30" s="1" t="s">
        <v>1398</v>
      </c>
      <c r="N30" s="1" t="s">
        <v>1398</v>
      </c>
      <c r="O30" s="1" t="s">
        <v>1398</v>
      </c>
      <c r="P30" s="9"/>
      <c r="Q30" s="1" t="s">
        <v>5305</v>
      </c>
      <c r="R30" s="1" t="s">
        <v>5306</v>
      </c>
      <c r="S30" s="1">
        <v>8183375614</v>
      </c>
      <c r="T30" s="11" t="s">
        <v>5307</v>
      </c>
      <c r="U30" s="1">
        <v>8110442443</v>
      </c>
      <c r="V30" s="9"/>
      <c r="W30" s="1" t="s">
        <v>5308</v>
      </c>
      <c r="X30" s="1" t="s">
        <v>2151</v>
      </c>
      <c r="Y30" s="1">
        <v>8183375614</v>
      </c>
      <c r="Z30" s="11" t="s">
        <v>5309</v>
      </c>
      <c r="AA30" s="1" t="s">
        <v>1398</v>
      </c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839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840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841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842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843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844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845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846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847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848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849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850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851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852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853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854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855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856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857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858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859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SUBTOTAL(103,Tabla21[ARCHIVO])</f>
        <v>28</v>
      </c>
    </row>
  </sheetData>
  <hyperlinks>
    <hyperlink ref="T2" r:id="rId1" xr:uid="{00000000-0004-0000-1100-000000000000}"/>
    <hyperlink ref="Z2" r:id="rId2" xr:uid="{00000000-0004-0000-1100-000001000000}"/>
    <hyperlink ref="AI2" r:id="rId3" xr:uid="{00000000-0004-0000-1100-000002000000}"/>
    <hyperlink ref="N3" r:id="rId4" xr:uid="{00000000-0004-0000-1100-000003000000}"/>
    <hyperlink ref="T3" r:id="rId5" xr:uid="{00000000-0004-0000-1100-000004000000}"/>
    <hyperlink ref="Z3" r:id="rId6" xr:uid="{00000000-0004-0000-1100-000005000000}"/>
    <hyperlink ref="AI3" r:id="rId7" xr:uid="{00000000-0004-0000-1100-000006000000}"/>
    <hyperlink ref="N4" r:id="rId8" xr:uid="{00000000-0004-0000-1100-000007000000}"/>
    <hyperlink ref="T4" r:id="rId9" xr:uid="{00000000-0004-0000-1100-000008000000}"/>
    <hyperlink ref="Z4" r:id="rId10" xr:uid="{00000000-0004-0000-1100-000009000000}"/>
    <hyperlink ref="AF4" r:id="rId11" xr:uid="{00000000-0004-0000-1100-00000A000000}"/>
    <hyperlink ref="AI4" r:id="rId12" xr:uid="{00000000-0004-0000-1100-00000B000000}"/>
    <hyperlink ref="N5" r:id="rId13" xr:uid="{00000000-0004-0000-1100-00000C000000}"/>
    <hyperlink ref="T5" r:id="rId14" xr:uid="{00000000-0004-0000-1100-00000D000000}"/>
    <hyperlink ref="Z5" r:id="rId15" xr:uid="{00000000-0004-0000-1100-00000E000000}"/>
    <hyperlink ref="AF5" r:id="rId16" xr:uid="{00000000-0004-0000-1100-00000F000000}"/>
    <hyperlink ref="AI5" r:id="rId17" xr:uid="{00000000-0004-0000-1100-000010000000}"/>
    <hyperlink ref="N6" r:id="rId18" xr:uid="{00000000-0004-0000-1100-000011000000}"/>
    <hyperlink ref="Z6" r:id="rId19" xr:uid="{00000000-0004-0000-1100-000012000000}"/>
    <hyperlink ref="T6" r:id="rId20" xr:uid="{00000000-0004-0000-1100-000013000000}"/>
    <hyperlink ref="AI6" r:id="rId21" xr:uid="{00000000-0004-0000-1100-000014000000}"/>
    <hyperlink ref="N7" r:id="rId22" xr:uid="{00000000-0004-0000-1100-000015000000}"/>
    <hyperlink ref="T7" r:id="rId23" xr:uid="{00000000-0004-0000-1100-000016000000}"/>
    <hyperlink ref="Z7" r:id="rId24" xr:uid="{00000000-0004-0000-1100-000017000000}"/>
    <hyperlink ref="AF7" r:id="rId25" xr:uid="{00000000-0004-0000-1100-000018000000}"/>
    <hyperlink ref="AI7" r:id="rId26" xr:uid="{00000000-0004-0000-1100-000019000000}"/>
    <hyperlink ref="N8" r:id="rId27" xr:uid="{00000000-0004-0000-1100-00001A000000}"/>
    <hyperlink ref="Z8" r:id="rId28" xr:uid="{00000000-0004-0000-1100-00001B000000}"/>
    <hyperlink ref="T8" r:id="rId29" xr:uid="{00000000-0004-0000-1100-00001C000000}"/>
    <hyperlink ref="AI8" r:id="rId30" xr:uid="{00000000-0004-0000-1100-00001D000000}"/>
    <hyperlink ref="N9" r:id="rId31" xr:uid="{00000000-0004-0000-1100-00001E000000}"/>
    <hyperlink ref="T9" r:id="rId32" xr:uid="{00000000-0004-0000-1100-00001F000000}"/>
    <hyperlink ref="Z9" r:id="rId33" xr:uid="{00000000-0004-0000-1100-000020000000}"/>
    <hyperlink ref="AF9" r:id="rId34" xr:uid="{00000000-0004-0000-1100-000021000000}"/>
    <hyperlink ref="AI9" r:id="rId35" xr:uid="{00000000-0004-0000-1100-000022000000}"/>
    <hyperlink ref="N10" r:id="rId36" xr:uid="{00000000-0004-0000-1100-000023000000}"/>
    <hyperlink ref="T10" r:id="rId37" xr:uid="{00000000-0004-0000-1100-000024000000}"/>
    <hyperlink ref="Z10" r:id="rId38" xr:uid="{00000000-0004-0000-1100-000025000000}"/>
    <hyperlink ref="AI10" r:id="rId39" xr:uid="{00000000-0004-0000-1100-000026000000}"/>
    <hyperlink ref="N11" r:id="rId40" xr:uid="{00000000-0004-0000-1100-000027000000}"/>
    <hyperlink ref="T11" r:id="rId41" xr:uid="{00000000-0004-0000-1100-000028000000}"/>
    <hyperlink ref="Z11" r:id="rId42" xr:uid="{00000000-0004-0000-1100-000029000000}"/>
    <hyperlink ref="AF11" r:id="rId43" xr:uid="{00000000-0004-0000-1100-00002A000000}"/>
    <hyperlink ref="N12" r:id="rId44" xr:uid="{00000000-0004-0000-1100-00002B000000}"/>
    <hyperlink ref="T12" r:id="rId45" xr:uid="{00000000-0004-0000-1100-00002C000000}"/>
    <hyperlink ref="N13" r:id="rId46" xr:uid="{00000000-0004-0000-1100-00002D000000}"/>
    <hyperlink ref="T13" r:id="rId47" xr:uid="{00000000-0004-0000-1100-00002E000000}"/>
    <hyperlink ref="Z13" r:id="rId48" xr:uid="{00000000-0004-0000-1100-00002F000000}"/>
    <hyperlink ref="AF13" r:id="rId49" xr:uid="{00000000-0004-0000-1100-000030000000}"/>
    <hyperlink ref="N14" r:id="rId50" xr:uid="{00000000-0004-0000-1100-000031000000}"/>
    <hyperlink ref="T14" r:id="rId51" xr:uid="{00000000-0004-0000-1100-000032000000}"/>
    <hyperlink ref="N15" r:id="rId52" xr:uid="{00000000-0004-0000-1100-000033000000}"/>
    <hyperlink ref="T15" r:id="rId53" xr:uid="{00000000-0004-0000-1100-000034000000}"/>
    <hyperlink ref="Z15" r:id="rId54" xr:uid="{00000000-0004-0000-1100-000035000000}"/>
    <hyperlink ref="T16" r:id="rId55" xr:uid="{00000000-0004-0000-1100-000036000000}"/>
    <hyperlink ref="Z16" r:id="rId56" xr:uid="{00000000-0004-0000-1100-000037000000}"/>
    <hyperlink ref="N17" r:id="rId57" xr:uid="{00000000-0004-0000-1100-000038000000}"/>
    <hyperlink ref="T17" r:id="rId58" xr:uid="{00000000-0004-0000-1100-000039000000}"/>
    <hyperlink ref="AI17" r:id="rId59" xr:uid="{00000000-0004-0000-1100-00003A000000}"/>
    <hyperlink ref="N18" r:id="rId60" xr:uid="{00000000-0004-0000-1100-00003B000000}"/>
    <hyperlink ref="Z18" r:id="rId61" xr:uid="{00000000-0004-0000-1100-00003C000000}"/>
    <hyperlink ref="T18" r:id="rId62" xr:uid="{00000000-0004-0000-1100-00003D000000}"/>
    <hyperlink ref="AF18" r:id="rId63" xr:uid="{00000000-0004-0000-1100-00003E000000}"/>
    <hyperlink ref="AI18" r:id="rId64" xr:uid="{00000000-0004-0000-1100-00003F000000}"/>
    <hyperlink ref="AI11" r:id="rId65" xr:uid="{00000000-0004-0000-1100-000040000000}"/>
    <hyperlink ref="AI12" r:id="rId66" xr:uid="{00000000-0004-0000-1100-000041000000}"/>
    <hyperlink ref="AI13" r:id="rId67" xr:uid="{00000000-0004-0000-1100-000042000000}"/>
    <hyperlink ref="AI14" r:id="rId68" xr:uid="{00000000-0004-0000-1100-000043000000}"/>
    <hyperlink ref="AI15" r:id="rId69" xr:uid="{00000000-0004-0000-1100-000044000000}"/>
    <hyperlink ref="AI16" r:id="rId70" xr:uid="{00000000-0004-0000-1100-000045000000}"/>
    <hyperlink ref="N19" r:id="rId71" xr:uid="{00000000-0004-0000-1100-000046000000}"/>
    <hyperlink ref="T19" r:id="rId72" xr:uid="{00000000-0004-0000-1100-000047000000}"/>
    <hyperlink ref="AI19" r:id="rId73" xr:uid="{00000000-0004-0000-1100-000048000000}"/>
    <hyperlink ref="N20" r:id="rId74" xr:uid="{00000000-0004-0000-1100-000049000000}"/>
    <hyperlink ref="T20" r:id="rId75" xr:uid="{00000000-0004-0000-1100-00004A000000}"/>
    <hyperlink ref="AI20" r:id="rId76" xr:uid="{00000000-0004-0000-1100-00004B000000}"/>
    <hyperlink ref="N21" r:id="rId77" xr:uid="{00000000-0004-0000-1100-00004C000000}"/>
    <hyperlink ref="T21" r:id="rId78" xr:uid="{00000000-0004-0000-1100-00004D000000}"/>
    <hyperlink ref="AI21" r:id="rId79" xr:uid="{00000000-0004-0000-1100-00004E000000}"/>
    <hyperlink ref="N22" r:id="rId80" xr:uid="{00000000-0004-0000-1100-00004F000000}"/>
    <hyperlink ref="T22" r:id="rId81" xr:uid="{00000000-0004-0000-1100-000050000000}"/>
    <hyperlink ref="AI22" r:id="rId82" xr:uid="{00000000-0004-0000-1100-000051000000}"/>
    <hyperlink ref="T23" r:id="rId83" xr:uid="{00000000-0004-0000-1100-000052000000}"/>
    <hyperlink ref="Z23" r:id="rId84" xr:uid="{00000000-0004-0000-1100-000053000000}"/>
    <hyperlink ref="AF23" r:id="rId85" xr:uid="{00000000-0004-0000-1100-000054000000}"/>
    <hyperlink ref="AI23" r:id="rId86" xr:uid="{00000000-0004-0000-1100-000055000000}"/>
    <hyperlink ref="T24" r:id="rId87" xr:uid="{00000000-0004-0000-1100-000056000000}"/>
    <hyperlink ref="Z24" r:id="rId88" xr:uid="{00000000-0004-0000-1100-000057000000}"/>
    <hyperlink ref="AI24" r:id="rId89" xr:uid="{00000000-0004-0000-1100-000058000000}"/>
    <hyperlink ref="N25" r:id="rId90" xr:uid="{00000000-0004-0000-1100-000059000000}"/>
    <hyperlink ref="T25" r:id="rId91" xr:uid="{00000000-0004-0000-1100-00005A000000}"/>
    <hyperlink ref="Z25" r:id="rId92" xr:uid="{00000000-0004-0000-1100-00005B000000}"/>
    <hyperlink ref="AI25" r:id="rId93" xr:uid="{00000000-0004-0000-1100-00005C000000}"/>
    <hyperlink ref="N26" r:id="rId94" xr:uid="{00000000-0004-0000-1100-00005D000000}"/>
    <hyperlink ref="Z26" r:id="rId95" xr:uid="{00000000-0004-0000-1100-00005E000000}"/>
    <hyperlink ref="T26" r:id="rId96" xr:uid="{00000000-0004-0000-1100-00005F000000}"/>
    <hyperlink ref="N27" r:id="rId97" xr:uid="{00000000-0004-0000-1100-000060000000}"/>
    <hyperlink ref="T27" r:id="rId98" xr:uid="{00000000-0004-0000-1100-000061000000}"/>
    <hyperlink ref="AI26" r:id="rId99" xr:uid="{00000000-0004-0000-1100-000062000000}"/>
    <hyperlink ref="AI27" r:id="rId100" xr:uid="{00000000-0004-0000-1100-000063000000}"/>
    <hyperlink ref="N28" r:id="rId101" xr:uid="{00000000-0004-0000-1100-000064000000}"/>
    <hyperlink ref="T28" r:id="rId102" xr:uid="{00000000-0004-0000-1100-000065000000}"/>
    <hyperlink ref="AI28" r:id="rId103" xr:uid="{00000000-0004-0000-1100-000066000000}"/>
    <hyperlink ref="N29" r:id="rId104" xr:uid="{00000000-0004-0000-1100-000067000000}"/>
    <hyperlink ref="T29" r:id="rId105" xr:uid="{00000000-0004-0000-1100-000068000000}"/>
    <hyperlink ref="AI29" r:id="rId106" xr:uid="{00000000-0004-0000-1100-000069000000}"/>
    <hyperlink ref="T30" r:id="rId107" xr:uid="{00000000-0004-0000-1100-00006A000000}"/>
    <hyperlink ref="Z30" r:id="rId108" xr:uid="{00000000-0004-0000-1100-00006B000000}"/>
  </hyperlinks>
  <pageMargins left="0.7" right="0.7" top="0.75" bottom="0.75" header="0.3" footer="0.3"/>
  <pageSetup paperSize="9" orientation="portrait" r:id="rId109"/>
  <tableParts count="1">
    <tablePart r:id="rId110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1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1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1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1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52"/>
  <sheetViews>
    <sheetView topLeftCell="Z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85546875" bestFit="1" customWidth="1"/>
    <col min="4" max="4" width="31.140625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8.42578125" bestFit="1" customWidth="1"/>
    <col min="10" max="10" width="13.5703125" customWidth="1"/>
    <col min="11" max="11" width="22.85546875" bestFit="1" customWidth="1"/>
    <col min="12" max="12" width="34.42578125" customWidth="1"/>
    <col min="13" max="13" width="30.28515625" customWidth="1"/>
    <col min="14" max="14" width="28.85546875" bestFit="1" customWidth="1"/>
    <col min="15" max="15" width="12" bestFit="1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34.5703125" bestFit="1" customWidth="1"/>
    <col min="21" max="21" width="12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8.85546875" bestFit="1" customWidth="1"/>
    <col min="27" max="27" width="13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0" customWidth="1"/>
    <col min="33" max="33" width="13" customWidth="1"/>
    <col min="34" max="34" width="11.85546875" customWidth="1"/>
    <col min="35" max="35" width="62.570312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860</v>
      </c>
      <c r="B2" s="18" t="s">
        <v>3954</v>
      </c>
      <c r="C2" s="1" t="s">
        <v>1451</v>
      </c>
      <c r="D2" s="1" t="s">
        <v>1640</v>
      </c>
      <c r="E2" s="1"/>
      <c r="F2" s="1" t="s">
        <v>4865</v>
      </c>
      <c r="G2" s="1" t="s">
        <v>4875</v>
      </c>
      <c r="H2" s="1" t="s">
        <v>4869</v>
      </c>
      <c r="I2" s="1" t="s">
        <v>4925</v>
      </c>
      <c r="J2" s="1" t="s">
        <v>4896</v>
      </c>
      <c r="K2" s="1" t="s">
        <v>4946</v>
      </c>
      <c r="L2" s="1"/>
      <c r="M2" s="1"/>
      <c r="N2" s="1"/>
      <c r="O2" s="1"/>
      <c r="P2" s="9"/>
      <c r="Q2" s="1" t="s">
        <v>1641</v>
      </c>
      <c r="R2" s="1" t="s">
        <v>1642</v>
      </c>
      <c r="S2" s="1">
        <v>8118248232</v>
      </c>
      <c r="T2" s="11" t="s">
        <v>1643</v>
      </c>
      <c r="U2" s="1">
        <v>8118248232</v>
      </c>
      <c r="V2" s="9"/>
      <c r="W2" s="1" t="s">
        <v>1644</v>
      </c>
      <c r="X2" s="1" t="s">
        <v>1645</v>
      </c>
      <c r="Y2" s="1">
        <v>8181618631</v>
      </c>
      <c r="Z2" s="11" t="s">
        <v>1646</v>
      </c>
      <c r="AA2" s="1">
        <v>8181618631</v>
      </c>
      <c r="AB2" s="9"/>
      <c r="AC2" s="1"/>
      <c r="AD2" s="1"/>
      <c r="AE2" s="1"/>
      <c r="AF2" s="1"/>
      <c r="AG2" s="1"/>
      <c r="AI2" s="11" t="s">
        <v>3805</v>
      </c>
    </row>
    <row r="3" spans="1:35" x14ac:dyDescent="0.25">
      <c r="A3" s="1" t="s">
        <v>861</v>
      </c>
      <c r="B3" s="18" t="s">
        <v>2899</v>
      </c>
      <c r="C3" s="1" t="s">
        <v>2013</v>
      </c>
      <c r="D3" s="1" t="s">
        <v>2110</v>
      </c>
      <c r="E3" s="1" t="s">
        <v>2111</v>
      </c>
      <c r="F3" s="1" t="s">
        <v>4865</v>
      </c>
      <c r="G3" s="1" t="s">
        <v>4873</v>
      </c>
      <c r="H3" s="1" t="s">
        <v>4869</v>
      </c>
      <c r="I3" s="1" t="s">
        <v>4920</v>
      </c>
      <c r="J3" s="1" t="s">
        <v>4896</v>
      </c>
      <c r="K3" s="1" t="s">
        <v>4911</v>
      </c>
      <c r="L3" s="1" t="s">
        <v>1511</v>
      </c>
      <c r="M3" s="1">
        <v>8180301120</v>
      </c>
      <c r="N3" s="11" t="s">
        <v>2112</v>
      </c>
      <c r="O3" s="1">
        <v>8119901559</v>
      </c>
      <c r="P3" s="9"/>
      <c r="Q3" s="1" t="s">
        <v>2113</v>
      </c>
      <c r="R3" s="1" t="s">
        <v>1482</v>
      </c>
      <c r="S3" s="1">
        <v>8180301120</v>
      </c>
      <c r="T3" s="11" t="s">
        <v>2114</v>
      </c>
      <c r="U3" s="1">
        <v>8110134599</v>
      </c>
      <c r="V3" s="9"/>
      <c r="W3" s="1" t="s">
        <v>2111</v>
      </c>
      <c r="X3" s="1" t="s">
        <v>1511</v>
      </c>
      <c r="Y3" s="1">
        <v>8180301120</v>
      </c>
      <c r="Z3" s="11" t="s">
        <v>2112</v>
      </c>
      <c r="AA3" s="1">
        <v>8119901559</v>
      </c>
      <c r="AB3" s="9"/>
      <c r="AC3" s="1"/>
      <c r="AD3" s="1"/>
      <c r="AE3" s="1"/>
      <c r="AF3" s="1"/>
      <c r="AG3" s="1"/>
      <c r="AI3" s="11" t="s">
        <v>2115</v>
      </c>
    </row>
    <row r="4" spans="1:35" x14ac:dyDescent="0.25">
      <c r="A4" s="1" t="s">
        <v>862</v>
      </c>
      <c r="B4" s="1"/>
      <c r="C4" s="1" t="s">
        <v>2175</v>
      </c>
      <c r="D4" s="1" t="s">
        <v>3248</v>
      </c>
      <c r="E4" s="1" t="s">
        <v>3249</v>
      </c>
      <c r="F4" s="1" t="s">
        <v>4865</v>
      </c>
      <c r="G4" s="1" t="s">
        <v>4873</v>
      </c>
      <c r="H4" s="1" t="s">
        <v>4869</v>
      </c>
      <c r="I4" s="1" t="s">
        <v>4953</v>
      </c>
      <c r="J4" s="1" t="s">
        <v>4896</v>
      </c>
      <c r="K4" s="1" t="s">
        <v>4914</v>
      </c>
      <c r="L4" s="1" t="s">
        <v>1745</v>
      </c>
      <c r="M4" s="1">
        <v>8183962145</v>
      </c>
      <c r="N4" s="11" t="s">
        <v>3250</v>
      </c>
      <c r="O4" s="1">
        <v>8183962145</v>
      </c>
      <c r="P4" s="9"/>
      <c r="Q4" s="1" t="s">
        <v>3249</v>
      </c>
      <c r="R4" s="1" t="s">
        <v>1745</v>
      </c>
      <c r="S4" s="1">
        <v>8183962145</v>
      </c>
      <c r="T4" s="11" t="s">
        <v>3252</v>
      </c>
      <c r="U4" s="1">
        <v>8183962145</v>
      </c>
      <c r="V4" s="9"/>
      <c r="W4" s="1" t="s">
        <v>3251</v>
      </c>
      <c r="X4" s="1" t="s">
        <v>1989</v>
      </c>
      <c r="Y4" s="1">
        <v>8112884374</v>
      </c>
      <c r="Z4" s="11" t="s">
        <v>3250</v>
      </c>
      <c r="AA4" s="1">
        <v>8112884374</v>
      </c>
      <c r="AB4" s="9"/>
      <c r="AC4" s="1" t="s">
        <v>3253</v>
      </c>
      <c r="AD4" s="1" t="s">
        <v>3254</v>
      </c>
      <c r="AE4" s="1">
        <v>8124372350</v>
      </c>
      <c r="AF4" s="11" t="s">
        <v>3255</v>
      </c>
      <c r="AG4" s="1">
        <v>8124372350</v>
      </c>
      <c r="AI4" s="11" t="s">
        <v>3806</v>
      </c>
    </row>
    <row r="5" spans="1:35" x14ac:dyDescent="0.25">
      <c r="A5" s="1" t="s">
        <v>863</v>
      </c>
      <c r="B5" s="18" t="s">
        <v>4001</v>
      </c>
      <c r="C5" s="1" t="s">
        <v>2013</v>
      </c>
      <c r="D5" s="1" t="s">
        <v>3258</v>
      </c>
      <c r="E5" s="1" t="s">
        <v>3256</v>
      </c>
      <c r="F5" s="1" t="s">
        <v>4865</v>
      </c>
      <c r="G5" s="1" t="s">
        <v>4873</v>
      </c>
      <c r="H5" s="1" t="s">
        <v>4869</v>
      </c>
      <c r="I5" s="1" t="s">
        <v>4933</v>
      </c>
      <c r="J5" s="1" t="s">
        <v>4896</v>
      </c>
      <c r="K5" s="1" t="s">
        <v>4946</v>
      </c>
      <c r="L5" s="1" t="s">
        <v>1553</v>
      </c>
      <c r="M5" s="1">
        <v>8115006655</v>
      </c>
      <c r="N5" s="11" t="s">
        <v>3257</v>
      </c>
      <c r="O5" s="1" t="s">
        <v>1483</v>
      </c>
      <c r="P5" s="9"/>
      <c r="Q5" s="1" t="s">
        <v>3256</v>
      </c>
      <c r="R5" s="1" t="s">
        <v>1553</v>
      </c>
      <c r="S5" s="1">
        <v>8115006655</v>
      </c>
      <c r="T5" s="11" t="s">
        <v>3257</v>
      </c>
      <c r="U5" s="1" t="s">
        <v>1483</v>
      </c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1" t="s">
        <v>3807</v>
      </c>
    </row>
    <row r="6" spans="1:35" x14ac:dyDescent="0.25">
      <c r="A6" s="1" t="s">
        <v>864</v>
      </c>
      <c r="B6" s="1"/>
      <c r="C6" s="1" t="s">
        <v>4057</v>
      </c>
      <c r="D6" s="1" t="s">
        <v>4215</v>
      </c>
      <c r="E6" s="1" t="s">
        <v>4216</v>
      </c>
      <c r="F6" s="1" t="s">
        <v>4865</v>
      </c>
      <c r="G6" s="1" t="s">
        <v>4874</v>
      </c>
      <c r="H6" s="1" t="s">
        <v>4869</v>
      </c>
      <c r="I6" s="1" t="s">
        <v>4920</v>
      </c>
      <c r="J6" s="1" t="s">
        <v>4896</v>
      </c>
      <c r="K6" s="1" t="s">
        <v>4911</v>
      </c>
      <c r="L6" s="1" t="s">
        <v>1482</v>
      </c>
      <c r="M6" s="1">
        <v>8118118497</v>
      </c>
      <c r="N6" s="11" t="s">
        <v>4217</v>
      </c>
      <c r="O6" s="1">
        <v>8118118497</v>
      </c>
      <c r="P6" s="9"/>
      <c r="Q6" s="1" t="s">
        <v>4216</v>
      </c>
      <c r="R6" s="1" t="s">
        <v>1482</v>
      </c>
      <c r="S6" s="1">
        <v>8118118497</v>
      </c>
      <c r="T6" s="11" t="s">
        <v>4217</v>
      </c>
      <c r="U6" s="1">
        <v>8118118497</v>
      </c>
      <c r="V6" s="9"/>
      <c r="W6" s="1" t="s">
        <v>4218</v>
      </c>
      <c r="X6" s="1" t="s">
        <v>1900</v>
      </c>
      <c r="Y6" s="1">
        <v>8140788106</v>
      </c>
      <c r="Z6" s="11" t="s">
        <v>4219</v>
      </c>
      <c r="AA6" s="1">
        <v>8140788106</v>
      </c>
      <c r="AB6" s="9"/>
      <c r="AC6" s="1" t="s">
        <v>4221</v>
      </c>
      <c r="AD6" s="1" t="s">
        <v>4220</v>
      </c>
      <c r="AE6" s="1"/>
      <c r="AF6" s="11" t="s">
        <v>4222</v>
      </c>
      <c r="AG6" s="1">
        <v>8115167509</v>
      </c>
      <c r="AI6" s="11" t="s">
        <v>4223</v>
      </c>
    </row>
    <row r="7" spans="1:35" x14ac:dyDescent="0.25">
      <c r="A7" s="1" t="s">
        <v>865</v>
      </c>
      <c r="B7" s="18" t="s">
        <v>5276</v>
      </c>
      <c r="C7" s="1" t="s">
        <v>4716</v>
      </c>
      <c r="D7" s="1" t="s">
        <v>4805</v>
      </c>
      <c r="E7" s="1" t="s">
        <v>4806</v>
      </c>
      <c r="F7" s="1" t="s">
        <v>4865</v>
      </c>
      <c r="G7" s="1" t="s">
        <v>4875</v>
      </c>
      <c r="H7" s="1" t="s">
        <v>4869</v>
      </c>
      <c r="I7" s="1" t="s">
        <v>4923</v>
      </c>
      <c r="J7" s="1" t="s">
        <v>4896</v>
      </c>
      <c r="K7" s="1" t="s">
        <v>4931</v>
      </c>
      <c r="L7" s="1" t="s">
        <v>4807</v>
      </c>
      <c r="M7" s="1">
        <v>8119846376</v>
      </c>
      <c r="N7" s="11" t="s">
        <v>4808</v>
      </c>
      <c r="O7" s="1">
        <v>8119846376</v>
      </c>
      <c r="P7" s="9"/>
      <c r="Q7" s="1" t="s">
        <v>4806</v>
      </c>
      <c r="R7" s="1" t="s">
        <v>4807</v>
      </c>
      <c r="S7" s="1">
        <v>8119846376</v>
      </c>
      <c r="T7" s="11" t="s">
        <v>4808</v>
      </c>
      <c r="U7" s="1">
        <v>8119846376</v>
      </c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1" t="s">
        <v>4809</v>
      </c>
    </row>
    <row r="8" spans="1:35" x14ac:dyDescent="0.25">
      <c r="A8" s="1" t="s">
        <v>866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867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868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869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870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871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872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873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874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875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876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877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878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879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880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881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882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883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884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885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886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887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888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889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890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891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892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893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894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895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896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897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898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899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900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901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902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903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904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905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906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907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908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909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SUBTOTAL(103,Tabla22[ARCHIVO])</f>
        <v>6</v>
      </c>
    </row>
  </sheetData>
  <hyperlinks>
    <hyperlink ref="T2" r:id="rId1" xr:uid="{00000000-0004-0000-1200-000000000000}"/>
    <hyperlink ref="Z2" r:id="rId2" xr:uid="{00000000-0004-0000-1200-000001000000}"/>
    <hyperlink ref="N3" r:id="rId3" xr:uid="{00000000-0004-0000-1200-000002000000}"/>
    <hyperlink ref="T3" r:id="rId4" xr:uid="{00000000-0004-0000-1200-000003000000}"/>
    <hyperlink ref="Z3" r:id="rId5" xr:uid="{00000000-0004-0000-1200-000004000000}"/>
    <hyperlink ref="AI3" r:id="rId6" xr:uid="{00000000-0004-0000-1200-000005000000}"/>
    <hyperlink ref="N4" r:id="rId7" xr:uid="{00000000-0004-0000-1200-000006000000}"/>
    <hyperlink ref="T4" r:id="rId8" xr:uid="{00000000-0004-0000-1200-000007000000}"/>
    <hyperlink ref="Z4" r:id="rId9" xr:uid="{00000000-0004-0000-1200-000008000000}"/>
    <hyperlink ref="AF4" r:id="rId10" xr:uid="{00000000-0004-0000-1200-000009000000}"/>
    <hyperlink ref="N5" r:id="rId11" xr:uid="{00000000-0004-0000-1200-00000A000000}"/>
    <hyperlink ref="T5" r:id="rId12" xr:uid="{00000000-0004-0000-1200-00000B000000}"/>
    <hyperlink ref="AI2" r:id="rId13" xr:uid="{00000000-0004-0000-1200-00000C000000}"/>
    <hyperlink ref="AI4" r:id="rId14" xr:uid="{00000000-0004-0000-1200-00000D000000}"/>
    <hyperlink ref="AI5" r:id="rId15" xr:uid="{00000000-0004-0000-1200-00000E000000}"/>
    <hyperlink ref="N6" r:id="rId16" xr:uid="{00000000-0004-0000-1200-00000F000000}"/>
    <hyperlink ref="T6" r:id="rId17" xr:uid="{00000000-0004-0000-1200-000010000000}"/>
    <hyperlink ref="Z6" r:id="rId18" xr:uid="{00000000-0004-0000-1200-000011000000}"/>
    <hyperlink ref="AF6" r:id="rId19" xr:uid="{00000000-0004-0000-1200-000012000000}"/>
    <hyperlink ref="AI6" r:id="rId20" xr:uid="{00000000-0004-0000-1200-000013000000}"/>
    <hyperlink ref="N7" r:id="rId21" xr:uid="{00000000-0004-0000-1200-000014000000}"/>
    <hyperlink ref="T7" r:id="rId22" xr:uid="{00000000-0004-0000-1200-000015000000}"/>
    <hyperlink ref="AI7" r:id="rId23" xr:uid="{00000000-0004-0000-1200-000016000000}"/>
  </hyperlinks>
  <pageMargins left="0.7" right="0.7" top="0.75" bottom="0.75" header="0.3" footer="0.3"/>
  <pageSetup paperSize="9" orientation="portrait" r:id="rId24"/>
  <tableParts count="1">
    <tablePart r:id="rId2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2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2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2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2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I52"/>
  <sheetViews>
    <sheetView topLeftCell="AA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42578125" bestFit="1" customWidth="1"/>
    <col min="4" max="4" width="66.140625" bestFit="1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9.140625" bestFit="1" customWidth="1"/>
    <col min="10" max="11" width="13.5703125" customWidth="1"/>
    <col min="12" max="12" width="28.85546875" customWidth="1"/>
    <col min="13" max="13" width="30.28515625" customWidth="1"/>
    <col min="14" max="14" width="32.42578125" bestFit="1" customWidth="1"/>
    <col min="15" max="15" width="14.7109375" customWidth="1"/>
    <col min="16" max="16" width="11" customWidth="1"/>
    <col min="17" max="17" width="43.42578125" customWidth="1"/>
    <col min="18" max="18" width="39.140625" bestFit="1" customWidth="1"/>
    <col min="19" max="19" width="31.28515625" customWidth="1"/>
    <col min="20" max="20" width="32.42578125" bestFit="1" customWidth="1"/>
    <col min="21" max="21" width="13.7109375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6.5703125" customWidth="1"/>
    <col min="27" max="27" width="13.42578125" customWidth="1"/>
    <col min="28" max="28" width="11.85546875" customWidth="1"/>
    <col min="29" max="29" width="45.42578125" customWidth="1"/>
    <col min="30" max="30" width="33.5703125" bestFit="1" customWidth="1"/>
    <col min="31" max="31" width="32.28515625" customWidth="1"/>
    <col min="32" max="32" width="34" bestFit="1" customWidth="1"/>
    <col min="33" max="33" width="14.85546875" customWidth="1"/>
    <col min="34" max="34" width="11.85546875" customWidth="1"/>
    <col min="35" max="35" width="95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910</v>
      </c>
      <c r="B2" s="18" t="s">
        <v>2900</v>
      </c>
      <c r="C2" s="1" t="s">
        <v>1446</v>
      </c>
      <c r="D2" s="1" t="s">
        <v>1647</v>
      </c>
      <c r="E2" s="1" t="s">
        <v>1650</v>
      </c>
      <c r="F2" s="37" t="s">
        <v>4865</v>
      </c>
      <c r="G2" s="37" t="s">
        <v>4874</v>
      </c>
      <c r="H2" s="37" t="s">
        <v>4869</v>
      </c>
      <c r="I2" s="15" t="s">
        <v>4923</v>
      </c>
      <c r="J2" s="37" t="s">
        <v>4896</v>
      </c>
      <c r="K2" s="15" t="s">
        <v>4924</v>
      </c>
      <c r="L2" s="1" t="s">
        <v>1482</v>
      </c>
      <c r="M2" s="1">
        <v>8132256362</v>
      </c>
      <c r="N2" s="11" t="s">
        <v>1651</v>
      </c>
      <c r="O2" s="1" t="s">
        <v>1483</v>
      </c>
      <c r="P2" s="9"/>
      <c r="Q2" s="1" t="s">
        <v>1648</v>
      </c>
      <c r="R2" s="1" t="s">
        <v>1499</v>
      </c>
      <c r="S2" s="1">
        <v>8122617272</v>
      </c>
      <c r="T2" s="11" t="s">
        <v>1649</v>
      </c>
      <c r="U2" s="1" t="s">
        <v>1483</v>
      </c>
      <c r="V2" s="9"/>
      <c r="W2" s="1" t="s">
        <v>1650</v>
      </c>
      <c r="X2" s="1" t="s">
        <v>1482</v>
      </c>
      <c r="Y2" s="1">
        <v>8132256362</v>
      </c>
      <c r="Z2" s="11" t="s">
        <v>1651</v>
      </c>
      <c r="AA2" s="1" t="s">
        <v>1483</v>
      </c>
      <c r="AB2" s="9"/>
      <c r="AC2" s="1"/>
      <c r="AD2" s="1"/>
      <c r="AE2" s="1"/>
      <c r="AF2" s="1"/>
      <c r="AG2" s="1"/>
      <c r="AI2" s="11" t="s">
        <v>1658</v>
      </c>
    </row>
    <row r="3" spans="1:35" x14ac:dyDescent="0.25">
      <c r="A3" s="1" t="s">
        <v>911</v>
      </c>
      <c r="B3" s="18" t="s">
        <v>2901</v>
      </c>
      <c r="C3" s="1" t="s">
        <v>1509</v>
      </c>
      <c r="D3" s="1" t="s">
        <v>1652</v>
      </c>
      <c r="E3" s="1" t="s">
        <v>1653</v>
      </c>
      <c r="F3" s="1" t="s">
        <v>4867</v>
      </c>
      <c r="G3" s="1" t="s">
        <v>4875</v>
      </c>
      <c r="H3" s="1" t="s">
        <v>4869</v>
      </c>
      <c r="I3" s="1" t="s">
        <v>5095</v>
      </c>
      <c r="J3" s="1" t="s">
        <v>4896</v>
      </c>
      <c r="K3" s="1" t="s">
        <v>1483</v>
      </c>
      <c r="L3" s="1" t="s">
        <v>1483</v>
      </c>
      <c r="M3" s="1" t="s">
        <v>1483</v>
      </c>
      <c r="N3" s="1" t="s">
        <v>1483</v>
      </c>
      <c r="O3" s="1" t="s">
        <v>1483</v>
      </c>
      <c r="P3" s="9"/>
      <c r="Q3" s="1" t="s">
        <v>1656</v>
      </c>
      <c r="R3" s="1" t="s">
        <v>1654</v>
      </c>
      <c r="S3" s="1">
        <v>8182565030</v>
      </c>
      <c r="T3" s="11" t="s">
        <v>1655</v>
      </c>
      <c r="U3" s="1">
        <v>8132405253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1657</v>
      </c>
    </row>
    <row r="4" spans="1:35" x14ac:dyDescent="0.25">
      <c r="A4" s="1" t="s">
        <v>912</v>
      </c>
      <c r="B4" s="18" t="s">
        <v>2902</v>
      </c>
      <c r="C4" s="1" t="s">
        <v>1434</v>
      </c>
      <c r="D4" s="1" t="s">
        <v>1659</v>
      </c>
      <c r="E4" s="1" t="s">
        <v>1660</v>
      </c>
      <c r="F4" s="1" t="s">
        <v>4863</v>
      </c>
      <c r="G4" s="1" t="s">
        <v>4873</v>
      </c>
      <c r="H4" s="1" t="s">
        <v>4869</v>
      </c>
      <c r="I4" s="1" t="s">
        <v>5096</v>
      </c>
      <c r="J4" s="1" t="s">
        <v>4896</v>
      </c>
      <c r="K4" s="1" t="s">
        <v>4911</v>
      </c>
      <c r="L4" s="1" t="s">
        <v>1661</v>
      </c>
      <c r="M4" s="1">
        <v>8120694590</v>
      </c>
      <c r="N4" s="11" t="s">
        <v>1662</v>
      </c>
      <c r="O4" s="1">
        <v>8120694590</v>
      </c>
      <c r="P4" s="9"/>
      <c r="Q4" s="1" t="s">
        <v>1660</v>
      </c>
      <c r="R4" s="1" t="s">
        <v>1661</v>
      </c>
      <c r="S4" s="1">
        <v>8120694590</v>
      </c>
      <c r="T4" s="11" t="s">
        <v>1662</v>
      </c>
      <c r="U4" s="1">
        <v>8120694590</v>
      </c>
      <c r="V4" s="9"/>
      <c r="W4" s="1" t="s">
        <v>1663</v>
      </c>
      <c r="X4" s="1" t="s">
        <v>1511</v>
      </c>
      <c r="Y4" s="1">
        <v>8281196139</v>
      </c>
      <c r="Z4" s="11" t="s">
        <v>1662</v>
      </c>
      <c r="AA4" s="1">
        <v>8281196139</v>
      </c>
      <c r="AB4" s="9"/>
      <c r="AC4" s="1"/>
      <c r="AD4" s="1"/>
      <c r="AE4" s="1"/>
      <c r="AF4" s="1"/>
      <c r="AG4" s="1"/>
      <c r="AI4" s="11" t="s">
        <v>1664</v>
      </c>
    </row>
    <row r="5" spans="1:35" x14ac:dyDescent="0.25">
      <c r="A5" s="1" t="s">
        <v>913</v>
      </c>
      <c r="B5" s="18" t="s">
        <v>2903</v>
      </c>
      <c r="C5" s="1" t="s">
        <v>1363</v>
      </c>
      <c r="D5" s="1" t="s">
        <v>1665</v>
      </c>
      <c r="E5" s="1" t="s">
        <v>1483</v>
      </c>
      <c r="F5" s="1" t="s">
        <v>4867</v>
      </c>
      <c r="G5" s="1" t="s">
        <v>4875</v>
      </c>
      <c r="H5" s="1" t="s">
        <v>4869</v>
      </c>
      <c r="I5" s="1" t="s">
        <v>5095</v>
      </c>
      <c r="J5" s="1" t="s">
        <v>4896</v>
      </c>
      <c r="K5" s="1" t="s">
        <v>1483</v>
      </c>
      <c r="L5" s="1" t="s">
        <v>1483</v>
      </c>
      <c r="M5" s="1" t="s">
        <v>1483</v>
      </c>
      <c r="N5" s="1" t="s">
        <v>1483</v>
      </c>
      <c r="O5" s="1" t="s">
        <v>1483</v>
      </c>
      <c r="P5" s="9"/>
      <c r="Q5" s="1" t="s">
        <v>1666</v>
      </c>
      <c r="R5" s="1" t="s">
        <v>1667</v>
      </c>
      <c r="S5" s="1">
        <v>8110076586</v>
      </c>
      <c r="T5" s="11" t="s">
        <v>1668</v>
      </c>
      <c r="U5" s="1">
        <v>8110076586</v>
      </c>
      <c r="V5" s="9"/>
      <c r="W5" s="1" t="s">
        <v>1669</v>
      </c>
      <c r="X5" s="1" t="s">
        <v>1670</v>
      </c>
      <c r="Y5" s="1">
        <v>8135514540</v>
      </c>
      <c r="Z5" s="11" t="s">
        <v>1671</v>
      </c>
      <c r="AA5" s="1">
        <v>8135514540</v>
      </c>
      <c r="AB5" s="9"/>
      <c r="AC5" s="1" t="s">
        <v>1672</v>
      </c>
      <c r="AD5" s="1" t="s">
        <v>1673</v>
      </c>
      <c r="AE5" s="1">
        <v>8120174863</v>
      </c>
      <c r="AF5" s="11" t="s">
        <v>1674</v>
      </c>
      <c r="AG5" s="1">
        <v>8135514540</v>
      </c>
      <c r="AI5" s="11" t="s">
        <v>1675</v>
      </c>
    </row>
    <row r="6" spans="1:35" x14ac:dyDescent="0.25">
      <c r="A6" s="1" t="s">
        <v>914</v>
      </c>
      <c r="B6" s="18" t="s">
        <v>3959</v>
      </c>
      <c r="C6" s="1" t="s">
        <v>2977</v>
      </c>
      <c r="D6" s="1" t="s">
        <v>3262</v>
      </c>
      <c r="E6" s="1" t="s">
        <v>3260</v>
      </c>
      <c r="F6" s="1" t="s">
        <v>4863</v>
      </c>
      <c r="G6" s="1" t="s">
        <v>4873</v>
      </c>
      <c r="H6" s="1" t="s">
        <v>4869</v>
      </c>
      <c r="I6" s="1" t="s">
        <v>5095</v>
      </c>
      <c r="J6" s="1" t="s">
        <v>4896</v>
      </c>
      <c r="K6" s="1" t="s">
        <v>4911</v>
      </c>
      <c r="L6" s="1" t="s">
        <v>2164</v>
      </c>
      <c r="M6" s="1">
        <v>8110656444</v>
      </c>
      <c r="N6" s="11" t="s">
        <v>3261</v>
      </c>
      <c r="O6" s="1">
        <v>8110656444</v>
      </c>
      <c r="P6" s="9"/>
      <c r="Q6" s="1" t="s">
        <v>3260</v>
      </c>
      <c r="R6" s="1" t="s">
        <v>2164</v>
      </c>
      <c r="S6" s="1">
        <v>8110656444</v>
      </c>
      <c r="T6" s="11" t="s">
        <v>3261</v>
      </c>
      <c r="U6" s="1">
        <v>8110656444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3808</v>
      </c>
    </row>
    <row r="7" spans="1:35" x14ac:dyDescent="0.25">
      <c r="A7" s="1" t="s">
        <v>915</v>
      </c>
      <c r="B7" s="18" t="s">
        <v>3959</v>
      </c>
      <c r="C7" s="1" t="s">
        <v>3103</v>
      </c>
      <c r="D7" s="1" t="s">
        <v>3259</v>
      </c>
      <c r="E7" s="1" t="s">
        <v>3263</v>
      </c>
      <c r="F7" s="1" t="s">
        <v>4863</v>
      </c>
      <c r="G7" s="1" t="s">
        <v>4873</v>
      </c>
      <c r="H7" s="1" t="s">
        <v>4869</v>
      </c>
      <c r="I7" s="1" t="s">
        <v>5095</v>
      </c>
      <c r="J7" s="1" t="s">
        <v>4896</v>
      </c>
      <c r="K7" s="1" t="s">
        <v>4911</v>
      </c>
      <c r="L7" s="1" t="s">
        <v>3127</v>
      </c>
      <c r="M7" s="1">
        <v>8180297699</v>
      </c>
      <c r="N7" s="11" t="s">
        <v>3264</v>
      </c>
      <c r="O7" s="1">
        <v>8180297699</v>
      </c>
      <c r="P7" s="9"/>
      <c r="Q7" s="1" t="s">
        <v>3263</v>
      </c>
      <c r="R7" s="1" t="s">
        <v>3127</v>
      </c>
      <c r="S7" s="1">
        <v>8180297699</v>
      </c>
      <c r="T7" s="11" t="s">
        <v>3264</v>
      </c>
      <c r="U7" s="1">
        <v>8180297699</v>
      </c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1" t="s">
        <v>3809</v>
      </c>
    </row>
    <row r="8" spans="1:35" x14ac:dyDescent="0.25">
      <c r="A8" s="1" t="s">
        <v>916</v>
      </c>
      <c r="B8" s="1"/>
      <c r="C8" s="1" t="s">
        <v>3265</v>
      </c>
      <c r="D8" s="1" t="s">
        <v>3276</v>
      </c>
      <c r="E8" s="1" t="s">
        <v>3266</v>
      </c>
      <c r="F8" s="1" t="s">
        <v>4867</v>
      </c>
      <c r="G8" s="1" t="s">
        <v>4875</v>
      </c>
      <c r="H8" s="1" t="s">
        <v>4869</v>
      </c>
      <c r="I8" s="1" t="s">
        <v>5095</v>
      </c>
      <c r="J8" s="1" t="s">
        <v>4896</v>
      </c>
      <c r="K8" s="1" t="s">
        <v>4911</v>
      </c>
      <c r="L8" s="1" t="s">
        <v>1483</v>
      </c>
      <c r="M8" s="1" t="s">
        <v>1483</v>
      </c>
      <c r="N8" s="1" t="s">
        <v>1483</v>
      </c>
      <c r="O8" s="1" t="s">
        <v>1483</v>
      </c>
      <c r="P8" s="9"/>
      <c r="Q8" s="1" t="s">
        <v>3267</v>
      </c>
      <c r="R8" s="1" t="s">
        <v>3268</v>
      </c>
      <c r="S8" s="1">
        <v>8117560577</v>
      </c>
      <c r="T8" s="11" t="s">
        <v>3269</v>
      </c>
      <c r="U8" s="1">
        <v>8117560577</v>
      </c>
      <c r="V8" s="9"/>
      <c r="W8" s="1" t="s">
        <v>3270</v>
      </c>
      <c r="X8" s="1" t="s">
        <v>3271</v>
      </c>
      <c r="Y8" s="1">
        <v>8116354411</v>
      </c>
      <c r="Z8" s="11" t="s">
        <v>3272</v>
      </c>
      <c r="AA8" s="1">
        <v>8116354411</v>
      </c>
      <c r="AB8" s="9"/>
      <c r="AC8" s="1" t="s">
        <v>3273</v>
      </c>
      <c r="AD8" s="1" t="s">
        <v>3274</v>
      </c>
      <c r="AE8" s="1">
        <v>8126860000</v>
      </c>
      <c r="AF8" s="11" t="s">
        <v>3275</v>
      </c>
      <c r="AG8" s="1">
        <v>8126860000</v>
      </c>
      <c r="AI8" s="11" t="s">
        <v>3810</v>
      </c>
    </row>
    <row r="9" spans="1:35" x14ac:dyDescent="0.25">
      <c r="A9" s="1" t="s">
        <v>917</v>
      </c>
      <c r="B9" s="18" t="s">
        <v>3958</v>
      </c>
      <c r="C9" s="1" t="s">
        <v>3265</v>
      </c>
      <c r="D9" s="1" t="s">
        <v>3292</v>
      </c>
      <c r="E9" s="1" t="s">
        <v>1483</v>
      </c>
      <c r="F9" s="1" t="s">
        <v>4865</v>
      </c>
      <c r="G9" s="1" t="s">
        <v>4874</v>
      </c>
      <c r="H9" s="1" t="s">
        <v>4869</v>
      </c>
      <c r="I9" s="1" t="s">
        <v>4916</v>
      </c>
      <c r="J9" s="1" t="s">
        <v>4896</v>
      </c>
      <c r="K9" s="1" t="s">
        <v>4911</v>
      </c>
      <c r="L9" s="1" t="s">
        <v>1483</v>
      </c>
      <c r="M9" s="1" t="s">
        <v>1483</v>
      </c>
      <c r="N9" s="1" t="s">
        <v>1483</v>
      </c>
      <c r="O9" s="1" t="s">
        <v>1483</v>
      </c>
      <c r="P9" s="9"/>
      <c r="Q9" s="1" t="s">
        <v>3294</v>
      </c>
      <c r="R9" s="1" t="s">
        <v>3293</v>
      </c>
      <c r="S9" s="1">
        <v>8181162240</v>
      </c>
      <c r="T9" s="11" t="s">
        <v>3295</v>
      </c>
      <c r="U9" s="1">
        <v>8181162240</v>
      </c>
      <c r="V9" s="9"/>
      <c r="W9" s="1" t="s">
        <v>3297</v>
      </c>
      <c r="X9" s="1" t="s">
        <v>3296</v>
      </c>
      <c r="Y9" s="1">
        <v>8126402818</v>
      </c>
      <c r="Z9" s="11" t="s">
        <v>3298</v>
      </c>
      <c r="AA9" s="1">
        <v>8126402818</v>
      </c>
      <c r="AB9" s="9"/>
      <c r="AC9" s="1" t="s">
        <v>3299</v>
      </c>
      <c r="AD9" s="1" t="s">
        <v>3300</v>
      </c>
      <c r="AE9" s="1">
        <v>8132544557</v>
      </c>
      <c r="AF9" s="11" t="s">
        <v>3301</v>
      </c>
      <c r="AG9" s="1">
        <v>8132544557</v>
      </c>
      <c r="AI9" s="11" t="s">
        <v>3811</v>
      </c>
    </row>
    <row r="10" spans="1:35" x14ac:dyDescent="0.25">
      <c r="A10" s="1" t="s">
        <v>918</v>
      </c>
      <c r="B10" s="1"/>
      <c r="C10" s="1" t="s">
        <v>1434</v>
      </c>
      <c r="D10" s="1" t="s">
        <v>3278</v>
      </c>
      <c r="E10" s="1" t="s">
        <v>3277</v>
      </c>
      <c r="F10" s="1" t="s">
        <v>4865</v>
      </c>
      <c r="G10" s="1" t="s">
        <v>4873</v>
      </c>
      <c r="H10" s="1" t="s">
        <v>4869</v>
      </c>
      <c r="I10" s="1" t="s">
        <v>4926</v>
      </c>
      <c r="J10" s="1" t="s">
        <v>4896</v>
      </c>
      <c r="K10" s="1" t="s">
        <v>4911</v>
      </c>
      <c r="L10" s="1" t="s">
        <v>2689</v>
      </c>
      <c r="M10" s="1">
        <v>8120694590</v>
      </c>
      <c r="N10" s="11" t="s">
        <v>3279</v>
      </c>
      <c r="O10" s="1">
        <v>8120694590</v>
      </c>
      <c r="P10" s="9"/>
      <c r="Q10" s="1" t="s">
        <v>3277</v>
      </c>
      <c r="R10" s="1" t="s">
        <v>2689</v>
      </c>
      <c r="S10" s="1">
        <v>8120694590</v>
      </c>
      <c r="T10" s="11" t="s">
        <v>3279</v>
      </c>
      <c r="U10" s="1">
        <v>8120694590</v>
      </c>
      <c r="V10" s="9"/>
      <c r="W10" s="1" t="s">
        <v>3280</v>
      </c>
      <c r="X10" s="1" t="s">
        <v>3281</v>
      </c>
      <c r="Y10" s="1">
        <v>8281136139</v>
      </c>
      <c r="Z10" s="11" t="s">
        <v>3282</v>
      </c>
      <c r="AA10" s="1">
        <v>8281196139</v>
      </c>
      <c r="AB10" s="9"/>
      <c r="AC10" s="1"/>
      <c r="AD10" s="1"/>
      <c r="AE10" s="1"/>
      <c r="AF10" s="1"/>
      <c r="AG10" s="1"/>
      <c r="AI10" s="11" t="s">
        <v>3812</v>
      </c>
    </row>
    <row r="11" spans="1:35" x14ac:dyDescent="0.25">
      <c r="A11" s="1" t="s">
        <v>919</v>
      </c>
      <c r="B11" s="18" t="s">
        <v>3957</v>
      </c>
      <c r="C11" s="1" t="s">
        <v>3284</v>
      </c>
      <c r="D11" s="1" t="s">
        <v>3285</v>
      </c>
      <c r="E11" s="1" t="s">
        <v>3286</v>
      </c>
      <c r="F11" s="1" t="s">
        <v>4864</v>
      </c>
      <c r="G11" s="1" t="s">
        <v>4875</v>
      </c>
      <c r="H11" s="1" t="s">
        <v>4869</v>
      </c>
      <c r="I11" s="1" t="s">
        <v>4926</v>
      </c>
      <c r="J11" s="1" t="s">
        <v>4896</v>
      </c>
      <c r="K11" s="1" t="s">
        <v>4911</v>
      </c>
      <c r="L11" s="1" t="s">
        <v>3287</v>
      </c>
      <c r="M11" s="1">
        <v>8134059157</v>
      </c>
      <c r="N11" s="11" t="s">
        <v>3288</v>
      </c>
      <c r="O11" s="1">
        <v>8134059157</v>
      </c>
      <c r="P11" s="9"/>
      <c r="Q11" s="1" t="s">
        <v>3286</v>
      </c>
      <c r="R11" s="1" t="s">
        <v>3287</v>
      </c>
      <c r="S11" s="1">
        <v>8134059157</v>
      </c>
      <c r="T11" s="11" t="s">
        <v>3288</v>
      </c>
      <c r="U11" s="1">
        <v>8134059157</v>
      </c>
      <c r="V11" s="9"/>
      <c r="W11" s="1" t="s">
        <v>3289</v>
      </c>
      <c r="X11" s="1" t="s">
        <v>3290</v>
      </c>
      <c r="Y11" s="1">
        <v>8134059157</v>
      </c>
      <c r="Z11" s="11" t="s">
        <v>3291</v>
      </c>
      <c r="AA11" s="1">
        <v>8134059157</v>
      </c>
      <c r="AB11" s="9"/>
      <c r="AC11" s="1"/>
      <c r="AD11" s="1"/>
      <c r="AE11" s="1"/>
      <c r="AF11" s="1"/>
      <c r="AG11" s="1"/>
      <c r="AI11" s="11" t="s">
        <v>3813</v>
      </c>
    </row>
    <row r="12" spans="1:35" x14ac:dyDescent="0.25">
      <c r="A12" s="1" t="s">
        <v>920</v>
      </c>
      <c r="B12" s="18" t="s">
        <v>3956</v>
      </c>
      <c r="C12" s="1" t="s">
        <v>3482</v>
      </c>
      <c r="D12" s="1" t="s">
        <v>3597</v>
      </c>
      <c r="E12" s="1" t="s">
        <v>3598</v>
      </c>
      <c r="F12" s="1" t="s">
        <v>4865</v>
      </c>
      <c r="G12" s="1" t="s">
        <v>4873</v>
      </c>
      <c r="H12" s="1" t="s">
        <v>4869</v>
      </c>
      <c r="I12" s="1" t="s">
        <v>5020</v>
      </c>
      <c r="J12" s="1" t="s">
        <v>4896</v>
      </c>
      <c r="K12" s="1" t="s">
        <v>4911</v>
      </c>
      <c r="L12" s="1" t="s">
        <v>2086</v>
      </c>
      <c r="M12" s="1" t="s">
        <v>3599</v>
      </c>
      <c r="N12" s="1" t="s">
        <v>3600</v>
      </c>
      <c r="O12" s="1">
        <v>4444922644</v>
      </c>
      <c r="P12" s="9"/>
      <c r="Q12" s="1" t="s">
        <v>3598</v>
      </c>
      <c r="R12" s="1" t="s">
        <v>2086</v>
      </c>
      <c r="S12" s="1" t="s">
        <v>3599</v>
      </c>
      <c r="T12" s="11" t="s">
        <v>3601</v>
      </c>
      <c r="U12" s="1">
        <v>4444922644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3602</v>
      </c>
    </row>
    <row r="13" spans="1:35" x14ac:dyDescent="0.25">
      <c r="A13" s="1" t="s">
        <v>921</v>
      </c>
      <c r="B13" s="18" t="s">
        <v>3955</v>
      </c>
      <c r="C13" s="1" t="s">
        <v>3482</v>
      </c>
      <c r="D13" s="1" t="s">
        <v>3603</v>
      </c>
      <c r="E13" s="1" t="s">
        <v>3604</v>
      </c>
      <c r="F13" s="1" t="s">
        <v>4865</v>
      </c>
      <c r="G13" s="1" t="s">
        <v>4874</v>
      </c>
      <c r="H13" s="1" t="s">
        <v>4869</v>
      </c>
      <c r="I13" s="1" t="s">
        <v>5095</v>
      </c>
      <c r="J13" s="1" t="s">
        <v>4896</v>
      </c>
      <c r="K13" s="1" t="s">
        <v>4911</v>
      </c>
      <c r="L13" s="1" t="s">
        <v>3605</v>
      </c>
      <c r="M13" s="1">
        <v>8110158116</v>
      </c>
      <c r="N13" s="11" t="s">
        <v>3606</v>
      </c>
      <c r="O13" s="1">
        <v>8110158116</v>
      </c>
      <c r="P13" s="9"/>
      <c r="Q13" s="1" t="s">
        <v>3604</v>
      </c>
      <c r="R13" s="1" t="s">
        <v>3605</v>
      </c>
      <c r="S13" s="1">
        <v>8110158116</v>
      </c>
      <c r="T13" s="11" t="s">
        <v>3606</v>
      </c>
      <c r="U13" s="1">
        <v>8110158116</v>
      </c>
      <c r="V13" s="9"/>
      <c r="W13" s="1" t="s">
        <v>3607</v>
      </c>
      <c r="X13" s="1" t="s">
        <v>3608</v>
      </c>
      <c r="Y13" s="1">
        <v>8117752272</v>
      </c>
      <c r="Z13" s="11" t="s">
        <v>3609</v>
      </c>
      <c r="AA13" s="1">
        <v>8117752272</v>
      </c>
      <c r="AB13" s="9"/>
      <c r="AC13" s="1" t="s">
        <v>3610</v>
      </c>
      <c r="AD13" s="1" t="s">
        <v>1368</v>
      </c>
      <c r="AE13" s="1">
        <v>8117868971</v>
      </c>
      <c r="AF13" s="11" t="s">
        <v>3611</v>
      </c>
      <c r="AG13" s="1">
        <v>8117868971</v>
      </c>
      <c r="AI13" s="11" t="s">
        <v>3612</v>
      </c>
    </row>
    <row r="14" spans="1:35" x14ac:dyDescent="0.25">
      <c r="A14" s="1" t="s">
        <v>922</v>
      </c>
      <c r="B14" s="18" t="s">
        <v>4364</v>
      </c>
      <c r="C14" s="13" t="s">
        <v>3464</v>
      </c>
      <c r="D14" t="s">
        <v>4363</v>
      </c>
      <c r="E14" s="13" t="s">
        <v>4365</v>
      </c>
      <c r="F14" s="13" t="s">
        <v>4863</v>
      </c>
      <c r="G14" s="13" t="s">
        <v>4873</v>
      </c>
      <c r="H14" s="13" t="s">
        <v>4869</v>
      </c>
      <c r="I14" s="13" t="s">
        <v>4926</v>
      </c>
      <c r="J14" s="13" t="s">
        <v>4896</v>
      </c>
      <c r="K14" s="13" t="s">
        <v>4911</v>
      </c>
      <c r="L14" s="13" t="s">
        <v>2000</v>
      </c>
      <c r="M14" s="13">
        <v>8136210201</v>
      </c>
      <c r="N14" s="30" t="s">
        <v>4366</v>
      </c>
      <c r="O14" s="13">
        <v>8136210201</v>
      </c>
      <c r="Q14" s="13" t="s">
        <v>4365</v>
      </c>
      <c r="R14" s="13" t="s">
        <v>2000</v>
      </c>
      <c r="S14" s="13">
        <v>8136210201</v>
      </c>
      <c r="T14" s="30" t="s">
        <v>4366</v>
      </c>
      <c r="U14" s="13">
        <v>8136210201</v>
      </c>
      <c r="W14" s="13" t="s">
        <v>4367</v>
      </c>
      <c r="X14" s="13" t="s">
        <v>4368</v>
      </c>
      <c r="Y14" s="13">
        <v>8183302122</v>
      </c>
      <c r="Z14" s="17" t="s">
        <v>4369</v>
      </c>
      <c r="AA14" s="13">
        <v>8117925581</v>
      </c>
      <c r="AC14" t="s">
        <v>4370</v>
      </c>
      <c r="AD14" t="s">
        <v>4371</v>
      </c>
      <c r="AE14">
        <v>8129490446</v>
      </c>
      <c r="AF14" s="17" t="s">
        <v>4372</v>
      </c>
      <c r="AG14">
        <v>8129490446</v>
      </c>
      <c r="AI14" s="11" t="s">
        <v>4373</v>
      </c>
    </row>
    <row r="15" spans="1:35" x14ac:dyDescent="0.25">
      <c r="A15" s="1" t="s">
        <v>923</v>
      </c>
      <c r="B15" s="1"/>
      <c r="C15" s="1" t="s">
        <v>3502</v>
      </c>
      <c r="D15" s="1" t="s">
        <v>4586</v>
      </c>
      <c r="E15" s="1" t="s">
        <v>4587</v>
      </c>
      <c r="F15" s="1" t="s">
        <v>4863</v>
      </c>
      <c r="G15" s="1" t="s">
        <v>4872</v>
      </c>
      <c r="H15" s="1" t="s">
        <v>4869</v>
      </c>
      <c r="I15" s="1" t="s">
        <v>4926</v>
      </c>
      <c r="J15" s="1" t="s">
        <v>4896</v>
      </c>
      <c r="K15" s="1" t="s">
        <v>4911</v>
      </c>
      <c r="L15" s="1" t="s">
        <v>1615</v>
      </c>
      <c r="M15" s="1">
        <v>8116051584</v>
      </c>
      <c r="N15" s="11" t="s">
        <v>4588</v>
      </c>
      <c r="O15" s="1">
        <v>8116051584</v>
      </c>
      <c r="P15" s="9"/>
      <c r="Q15" s="1" t="s">
        <v>4587</v>
      </c>
      <c r="R15" s="1" t="s">
        <v>1615</v>
      </c>
      <c r="S15" s="1">
        <v>8116051584</v>
      </c>
      <c r="T15" s="11" t="s">
        <v>4588</v>
      </c>
      <c r="U15" s="1">
        <v>8116051584</v>
      </c>
      <c r="V15" s="9"/>
      <c r="W15" s="1" t="s">
        <v>4589</v>
      </c>
      <c r="X15" s="1" t="s">
        <v>4590</v>
      </c>
      <c r="Y15" s="1">
        <v>8127666825</v>
      </c>
      <c r="Z15" s="11" t="s">
        <v>4591</v>
      </c>
      <c r="AA15" s="1">
        <v>8127666825</v>
      </c>
      <c r="AB15" s="9"/>
      <c r="AC15" s="1"/>
      <c r="AD15" s="1"/>
      <c r="AE15" s="1"/>
      <c r="AF15" s="1"/>
      <c r="AG15" s="1"/>
      <c r="AI15" s="11" t="s">
        <v>4592</v>
      </c>
    </row>
    <row r="16" spans="1:35" x14ac:dyDescent="0.25">
      <c r="A16" s="1" t="s">
        <v>924</v>
      </c>
      <c r="B16" s="18" t="s">
        <v>4671</v>
      </c>
      <c r="C16" s="1" t="s">
        <v>4490</v>
      </c>
      <c r="D16" s="1" t="s">
        <v>4635</v>
      </c>
      <c r="E16" s="1" t="s">
        <v>4636</v>
      </c>
      <c r="F16" s="1" t="s">
        <v>4865</v>
      </c>
      <c r="G16" s="1" t="s">
        <v>4873</v>
      </c>
      <c r="H16" s="1" t="s">
        <v>4869</v>
      </c>
      <c r="I16" s="1" t="s">
        <v>4918</v>
      </c>
      <c r="J16" s="1" t="s">
        <v>4896</v>
      </c>
      <c r="K16" s="1" t="s">
        <v>4911</v>
      </c>
      <c r="L16" s="1" t="s">
        <v>4637</v>
      </c>
      <c r="M16" s="1">
        <v>8110774402</v>
      </c>
      <c r="N16" s="11" t="s">
        <v>4638</v>
      </c>
      <c r="O16" s="1">
        <v>8110774402</v>
      </c>
      <c r="P16" s="9"/>
      <c r="Q16" s="1" t="s">
        <v>4639</v>
      </c>
      <c r="R16" s="1" t="s">
        <v>1482</v>
      </c>
      <c r="S16" s="1">
        <v>8181628306</v>
      </c>
      <c r="T16" s="11" t="s">
        <v>4640</v>
      </c>
      <c r="U16" s="1">
        <v>8181628306</v>
      </c>
      <c r="V16" s="9"/>
      <c r="W16" s="1" t="s">
        <v>4641</v>
      </c>
      <c r="X16" s="13" t="s">
        <v>2151</v>
      </c>
      <c r="Y16" s="1">
        <v>8110405097</v>
      </c>
      <c r="Z16" s="17" t="s">
        <v>4642</v>
      </c>
      <c r="AA16" s="1">
        <v>8110405097</v>
      </c>
      <c r="AB16" s="9"/>
      <c r="AC16" s="1" t="s">
        <v>4636</v>
      </c>
      <c r="AD16" s="1" t="s">
        <v>4637</v>
      </c>
      <c r="AE16" s="1">
        <v>8110774402</v>
      </c>
      <c r="AF16" s="11" t="s">
        <v>4638</v>
      </c>
      <c r="AG16" s="1">
        <v>8110774402</v>
      </c>
      <c r="AI16" s="11" t="s">
        <v>4643</v>
      </c>
    </row>
    <row r="17" spans="1:35" x14ac:dyDescent="0.25">
      <c r="A17" s="1" t="s">
        <v>925</v>
      </c>
      <c r="B17" s="18" t="s">
        <v>5275</v>
      </c>
      <c r="C17" s="1" t="s">
        <v>5251</v>
      </c>
      <c r="D17" s="1" t="s">
        <v>5252</v>
      </c>
      <c r="E17" s="1" t="s">
        <v>5253</v>
      </c>
      <c r="F17" s="1"/>
      <c r="G17" s="1"/>
      <c r="H17" s="1"/>
      <c r="I17" s="1"/>
      <c r="J17" s="1"/>
      <c r="K17" s="1"/>
      <c r="L17" s="1" t="s">
        <v>1482</v>
      </c>
      <c r="M17" s="1">
        <v>8180294313</v>
      </c>
      <c r="N17" s="11" t="s">
        <v>5254</v>
      </c>
      <c r="O17" s="1">
        <v>8180294313</v>
      </c>
      <c r="P17" s="9"/>
      <c r="Q17" s="1" t="s">
        <v>5253</v>
      </c>
      <c r="R17" s="1" t="s">
        <v>1482</v>
      </c>
      <c r="S17" s="1">
        <v>8180294313</v>
      </c>
      <c r="T17" s="11" t="s">
        <v>5254</v>
      </c>
      <c r="U17" s="1">
        <v>8180294313</v>
      </c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1" t="s">
        <v>5255</v>
      </c>
    </row>
    <row r="18" spans="1:35" x14ac:dyDescent="0.25">
      <c r="A18" s="1" t="s">
        <v>926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927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928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929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930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931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932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933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934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935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936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937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938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939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940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941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942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943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944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945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946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947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948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949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950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951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952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953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954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955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956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957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958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959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SUBTOTAL(103,Tabla23[ARCHIVO])</f>
        <v>16</v>
      </c>
    </row>
  </sheetData>
  <hyperlinks>
    <hyperlink ref="T2" r:id="rId1" xr:uid="{00000000-0004-0000-1300-000000000000}"/>
    <hyperlink ref="N2" r:id="rId2" xr:uid="{00000000-0004-0000-1300-000001000000}"/>
    <hyperlink ref="Z2" r:id="rId3" xr:uid="{00000000-0004-0000-1300-000002000000}"/>
    <hyperlink ref="T3" r:id="rId4" xr:uid="{00000000-0004-0000-1300-000003000000}"/>
    <hyperlink ref="AI3" r:id="rId5" xr:uid="{00000000-0004-0000-1300-000004000000}"/>
    <hyperlink ref="AI2" r:id="rId6" xr:uid="{00000000-0004-0000-1300-000005000000}"/>
    <hyperlink ref="N4" r:id="rId7" xr:uid="{00000000-0004-0000-1300-000006000000}"/>
    <hyperlink ref="T4" r:id="rId8" xr:uid="{00000000-0004-0000-1300-000007000000}"/>
    <hyperlink ref="Z4" r:id="rId9" xr:uid="{00000000-0004-0000-1300-000008000000}"/>
    <hyperlink ref="AI4" r:id="rId10" xr:uid="{00000000-0004-0000-1300-000009000000}"/>
    <hyperlink ref="T5" r:id="rId11" xr:uid="{00000000-0004-0000-1300-00000A000000}"/>
    <hyperlink ref="Z5" r:id="rId12" xr:uid="{00000000-0004-0000-1300-00000B000000}"/>
    <hyperlink ref="AF5" r:id="rId13" xr:uid="{00000000-0004-0000-1300-00000C000000}"/>
    <hyperlink ref="AI5" r:id="rId14" xr:uid="{00000000-0004-0000-1300-00000D000000}"/>
    <hyperlink ref="N6" r:id="rId15" xr:uid="{00000000-0004-0000-1300-00000E000000}"/>
    <hyperlink ref="T6" r:id="rId16" xr:uid="{00000000-0004-0000-1300-00000F000000}"/>
    <hyperlink ref="N7" r:id="rId17" xr:uid="{00000000-0004-0000-1300-000010000000}"/>
    <hyperlink ref="T7" r:id="rId18" xr:uid="{00000000-0004-0000-1300-000011000000}"/>
    <hyperlink ref="T8" r:id="rId19" xr:uid="{00000000-0004-0000-1300-000012000000}"/>
    <hyperlink ref="Z8" r:id="rId20" xr:uid="{00000000-0004-0000-1300-000013000000}"/>
    <hyperlink ref="AF8" r:id="rId21" xr:uid="{00000000-0004-0000-1300-000014000000}"/>
    <hyperlink ref="N10" r:id="rId22" xr:uid="{00000000-0004-0000-1300-000015000000}"/>
    <hyperlink ref="T10" r:id="rId23" xr:uid="{00000000-0004-0000-1300-000016000000}"/>
    <hyperlink ref="Z10" r:id="rId24" xr:uid="{00000000-0004-0000-1300-000017000000}"/>
    <hyperlink ref="T9" r:id="rId25" xr:uid="{00000000-0004-0000-1300-000018000000}"/>
    <hyperlink ref="Z9" r:id="rId26" xr:uid="{00000000-0004-0000-1300-000019000000}"/>
    <hyperlink ref="AF9" r:id="rId27" xr:uid="{00000000-0004-0000-1300-00001A000000}"/>
    <hyperlink ref="T12" r:id="rId28" xr:uid="{00000000-0004-0000-1300-00001B000000}"/>
    <hyperlink ref="AI12" r:id="rId29" xr:uid="{00000000-0004-0000-1300-00001C000000}"/>
    <hyperlink ref="N13" r:id="rId30" xr:uid="{00000000-0004-0000-1300-00001D000000}"/>
    <hyperlink ref="T13" r:id="rId31" xr:uid="{00000000-0004-0000-1300-00001E000000}"/>
    <hyperlink ref="Z13" r:id="rId32" xr:uid="{00000000-0004-0000-1300-00001F000000}"/>
    <hyperlink ref="AF13" r:id="rId33" xr:uid="{00000000-0004-0000-1300-000020000000}"/>
    <hyperlink ref="AI13" r:id="rId34" xr:uid="{00000000-0004-0000-1300-000021000000}"/>
    <hyperlink ref="AI6" r:id="rId35" xr:uid="{00000000-0004-0000-1300-000022000000}"/>
    <hyperlink ref="AI7" r:id="rId36" xr:uid="{00000000-0004-0000-1300-000023000000}"/>
    <hyperlink ref="AI8" r:id="rId37" xr:uid="{00000000-0004-0000-1300-000024000000}"/>
    <hyperlink ref="AI9" r:id="rId38" xr:uid="{00000000-0004-0000-1300-000025000000}"/>
    <hyperlink ref="AI10" r:id="rId39" xr:uid="{00000000-0004-0000-1300-000026000000}"/>
    <hyperlink ref="AI11" r:id="rId40" xr:uid="{00000000-0004-0000-1300-000027000000}"/>
    <hyperlink ref="N14" r:id="rId41" xr:uid="{00000000-0004-0000-1300-000028000000}"/>
    <hyperlink ref="T14" r:id="rId42" xr:uid="{00000000-0004-0000-1300-000029000000}"/>
    <hyperlink ref="Z14" r:id="rId43" xr:uid="{00000000-0004-0000-1300-00002A000000}"/>
    <hyperlink ref="AF14" r:id="rId44" xr:uid="{00000000-0004-0000-1300-00002B000000}"/>
    <hyperlink ref="AI14" r:id="rId45" xr:uid="{00000000-0004-0000-1300-00002C000000}"/>
    <hyperlink ref="N15" r:id="rId46" xr:uid="{00000000-0004-0000-1300-00002D000000}"/>
    <hyperlink ref="T15" r:id="rId47" xr:uid="{00000000-0004-0000-1300-00002E000000}"/>
    <hyperlink ref="Z15" r:id="rId48" xr:uid="{00000000-0004-0000-1300-00002F000000}"/>
    <hyperlink ref="AI15" r:id="rId49" xr:uid="{00000000-0004-0000-1300-000030000000}"/>
    <hyperlink ref="N16" r:id="rId50" xr:uid="{00000000-0004-0000-1300-000031000000}"/>
    <hyperlink ref="AF16" r:id="rId51" xr:uid="{00000000-0004-0000-1300-000032000000}"/>
    <hyperlink ref="T16" r:id="rId52" xr:uid="{00000000-0004-0000-1300-000033000000}"/>
    <hyperlink ref="Z16" r:id="rId53" xr:uid="{00000000-0004-0000-1300-000034000000}"/>
    <hyperlink ref="AI16" r:id="rId54" xr:uid="{00000000-0004-0000-1300-000035000000}"/>
    <hyperlink ref="N17" r:id="rId55" xr:uid="{00000000-0004-0000-1300-000036000000}"/>
    <hyperlink ref="T17" r:id="rId56" xr:uid="{00000000-0004-0000-1300-000037000000}"/>
    <hyperlink ref="AI17" r:id="rId57" xr:uid="{00000000-0004-0000-1300-000038000000}"/>
  </hyperlinks>
  <pageMargins left="0.7" right="0.7" top="0.75" bottom="0.75" header="0.3" footer="0.3"/>
  <pageSetup paperSize="9" orientation="portrait" r:id="rId58"/>
  <tableParts count="1">
    <tablePart r:id="rId59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3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3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3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3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J52"/>
  <sheetViews>
    <sheetView topLeftCell="AA29" zoomScale="80" zoomScaleNormal="80" workbookViewId="0">
      <selection sqref="A1:AI51"/>
    </sheetView>
  </sheetViews>
  <sheetFormatPr baseColWidth="10" defaultRowHeight="15" x14ac:dyDescent="0.25"/>
  <cols>
    <col min="1" max="1" width="7.28515625" customWidth="1"/>
    <col min="2" max="2" width="16.140625" customWidth="1"/>
    <col min="3" max="3" width="20.42578125" bestFit="1" customWidth="1"/>
    <col min="4" max="4" width="68.5703125" bestFit="1" customWidth="1"/>
    <col min="5" max="5" width="58.42578125" customWidth="1"/>
    <col min="6" max="6" width="29.42578125" bestFit="1" customWidth="1"/>
    <col min="7" max="7" width="26" bestFit="1" customWidth="1"/>
    <col min="8" max="8" width="13.5703125" customWidth="1"/>
    <col min="9" max="9" width="20.28515625" bestFit="1" customWidth="1"/>
    <col min="10" max="10" width="13.5703125" customWidth="1"/>
    <col min="11" max="11" width="19.140625" bestFit="1" customWidth="1"/>
    <col min="12" max="12" width="41.28515625" customWidth="1"/>
    <col min="13" max="13" width="31.5703125" customWidth="1"/>
    <col min="14" max="14" width="35.28515625" bestFit="1" customWidth="1"/>
    <col min="15" max="15" width="13" bestFit="1" customWidth="1"/>
    <col min="16" max="16" width="11.5703125" customWidth="1"/>
    <col min="17" max="17" width="46.140625" customWidth="1"/>
    <col min="18" max="18" width="40.5703125" bestFit="1" customWidth="1"/>
    <col min="19" max="19" width="32.7109375" customWidth="1"/>
    <col min="20" max="20" width="35.140625" bestFit="1" customWidth="1"/>
    <col min="21" max="21" width="13" bestFit="1" customWidth="1"/>
    <col min="22" max="22" width="11.5703125" customWidth="1"/>
    <col min="23" max="23" width="47.140625" customWidth="1"/>
    <col min="24" max="24" width="44.140625" customWidth="1"/>
    <col min="25" max="25" width="32.7109375" customWidth="1"/>
    <col min="26" max="26" width="35.28515625" bestFit="1" customWidth="1"/>
    <col min="27" max="27" width="13.5703125" customWidth="1"/>
    <col min="28" max="28" width="12.7109375" customWidth="1"/>
    <col min="29" max="29" width="48.28515625" customWidth="1"/>
    <col min="30" max="30" width="32.28515625" customWidth="1"/>
    <col min="31" max="31" width="33.7109375" customWidth="1"/>
    <col min="32" max="32" width="32.7109375" bestFit="1" customWidth="1"/>
    <col min="33" max="33" width="13.5703125" customWidth="1"/>
    <col min="34" max="34" width="12.7109375" customWidth="1"/>
    <col min="35" max="35" width="89.140625" customWidth="1"/>
  </cols>
  <sheetData>
    <row r="1" spans="1:36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6" x14ac:dyDescent="0.25">
      <c r="A2" s="1" t="s">
        <v>960</v>
      </c>
      <c r="B2" s="18" t="s">
        <v>2904</v>
      </c>
      <c r="C2" s="1" t="s">
        <v>1506</v>
      </c>
      <c r="D2" s="1" t="s">
        <v>1676</v>
      </c>
      <c r="E2" s="1"/>
      <c r="F2" s="1" t="s">
        <v>4863</v>
      </c>
      <c r="G2" s="1" t="s">
        <v>4874</v>
      </c>
      <c r="H2" s="1" t="s">
        <v>4869</v>
      </c>
      <c r="I2" s="1" t="s">
        <v>4936</v>
      </c>
      <c r="J2" s="1" t="s">
        <v>4896</v>
      </c>
      <c r="K2" s="1" t="s">
        <v>4911</v>
      </c>
      <c r="L2" s="1"/>
      <c r="M2" s="1"/>
      <c r="N2" s="1"/>
      <c r="O2" s="1"/>
      <c r="P2" s="9"/>
      <c r="Q2" s="1" t="s">
        <v>1677</v>
      </c>
      <c r="R2" s="1" t="s">
        <v>1678</v>
      </c>
      <c r="S2" s="1" t="s">
        <v>1483</v>
      </c>
      <c r="T2" s="11" t="s">
        <v>1679</v>
      </c>
      <c r="U2" s="1">
        <v>8128825366</v>
      </c>
      <c r="V2" s="9"/>
      <c r="W2" s="1" t="s">
        <v>1680</v>
      </c>
      <c r="X2" s="1" t="s">
        <v>1681</v>
      </c>
      <c r="Y2" s="1" t="s">
        <v>1682</v>
      </c>
      <c r="Z2" s="11" t="s">
        <v>1683</v>
      </c>
      <c r="AA2" s="1">
        <v>12105786229</v>
      </c>
      <c r="AB2" s="9"/>
      <c r="AC2" s="1"/>
      <c r="AD2" s="1"/>
      <c r="AE2" s="1"/>
      <c r="AF2" s="1"/>
      <c r="AG2" s="1"/>
      <c r="AI2" s="11" t="s">
        <v>1684</v>
      </c>
    </row>
    <row r="3" spans="1:36" x14ac:dyDescent="0.25">
      <c r="A3" s="1" t="s">
        <v>961</v>
      </c>
      <c r="B3" s="18" t="s">
        <v>2905</v>
      </c>
      <c r="C3" s="1" t="s">
        <v>1434</v>
      </c>
      <c r="D3" s="1" t="s">
        <v>1685</v>
      </c>
      <c r="E3" s="1" t="s">
        <v>1686</v>
      </c>
      <c r="F3" s="1" t="s">
        <v>4865</v>
      </c>
      <c r="G3" s="1" t="s">
        <v>4873</v>
      </c>
      <c r="H3" s="1" t="s">
        <v>4869</v>
      </c>
      <c r="I3" s="1" t="s">
        <v>4920</v>
      </c>
      <c r="J3" s="1" t="s">
        <v>4896</v>
      </c>
      <c r="K3" s="1" t="s">
        <v>1483</v>
      </c>
      <c r="L3" s="1" t="s">
        <v>1483</v>
      </c>
      <c r="M3" s="1" t="s">
        <v>1483</v>
      </c>
      <c r="N3" s="1" t="s">
        <v>1483</v>
      </c>
      <c r="O3" s="1" t="s">
        <v>1483</v>
      </c>
      <c r="P3" s="9"/>
      <c r="Q3" s="1" t="s">
        <v>1539</v>
      </c>
      <c r="R3" s="1" t="s">
        <v>1540</v>
      </c>
      <c r="S3" s="1" t="s">
        <v>1483</v>
      </c>
      <c r="T3" s="11" t="s">
        <v>1687</v>
      </c>
      <c r="U3" s="1">
        <v>8116101205</v>
      </c>
      <c r="V3" s="9"/>
      <c r="W3" s="1" t="s">
        <v>1688</v>
      </c>
      <c r="X3" s="14" t="s">
        <v>1689</v>
      </c>
      <c r="Y3" s="1" t="s">
        <v>1682</v>
      </c>
      <c r="Z3" s="11" t="s">
        <v>1545</v>
      </c>
      <c r="AA3" s="1">
        <v>8119986206</v>
      </c>
      <c r="AB3" s="9"/>
      <c r="AC3" s="1"/>
      <c r="AD3" s="1"/>
      <c r="AE3" s="1"/>
      <c r="AF3" s="1"/>
      <c r="AG3" s="1"/>
      <c r="AI3" s="11" t="s">
        <v>1690</v>
      </c>
    </row>
    <row r="4" spans="1:36" x14ac:dyDescent="0.25">
      <c r="A4" s="1" t="s">
        <v>962</v>
      </c>
      <c r="B4" s="18" t="s">
        <v>2906</v>
      </c>
      <c r="C4" s="1" t="s">
        <v>1692</v>
      </c>
      <c r="D4" s="1" t="s">
        <v>1691</v>
      </c>
      <c r="E4" s="1" t="s">
        <v>1697</v>
      </c>
      <c r="F4" s="37" t="s">
        <v>4865</v>
      </c>
      <c r="G4" s="37" t="s">
        <v>4873</v>
      </c>
      <c r="H4" s="37" t="s">
        <v>4869</v>
      </c>
      <c r="I4" s="15" t="s">
        <v>4917</v>
      </c>
      <c r="J4" s="37" t="s">
        <v>4896</v>
      </c>
      <c r="K4" s="15" t="s">
        <v>4911</v>
      </c>
      <c r="L4" s="1" t="s">
        <v>1698</v>
      </c>
      <c r="M4" s="1"/>
      <c r="N4" s="11"/>
      <c r="O4" s="1"/>
      <c r="P4" s="9"/>
      <c r="Q4" s="1" t="s">
        <v>1693</v>
      </c>
      <c r="R4" s="1" t="s">
        <v>1694</v>
      </c>
      <c r="S4" s="1" t="s">
        <v>1695</v>
      </c>
      <c r="T4" s="11" t="s">
        <v>1696</v>
      </c>
      <c r="U4" s="1">
        <v>8119657844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1699</v>
      </c>
    </row>
    <row r="5" spans="1:36" x14ac:dyDescent="0.25">
      <c r="A5" s="1" t="s">
        <v>963</v>
      </c>
      <c r="B5" s="1"/>
      <c r="C5" s="1" t="s">
        <v>1804</v>
      </c>
      <c r="D5" s="1" t="s">
        <v>2783</v>
      </c>
      <c r="E5" s="1" t="s">
        <v>1805</v>
      </c>
      <c r="F5" s="1" t="s">
        <v>4865</v>
      </c>
      <c r="G5" s="1" t="s">
        <v>4875</v>
      </c>
      <c r="H5" s="1" t="s">
        <v>4869</v>
      </c>
      <c r="I5" s="1" t="s">
        <v>5007</v>
      </c>
      <c r="J5" s="1" t="s">
        <v>4896</v>
      </c>
      <c r="K5" s="1" t="s">
        <v>4911</v>
      </c>
      <c r="L5" s="1" t="s">
        <v>1806</v>
      </c>
      <c r="M5" s="1">
        <v>8181731300</v>
      </c>
      <c r="N5" s="11" t="s">
        <v>1807</v>
      </c>
      <c r="O5" s="1" t="s">
        <v>1483</v>
      </c>
      <c r="P5" s="9"/>
      <c r="Q5" s="1" t="s">
        <v>1805</v>
      </c>
      <c r="R5" s="1" t="s">
        <v>1806</v>
      </c>
      <c r="S5" s="1">
        <v>8181731300</v>
      </c>
      <c r="T5" s="11" t="s">
        <v>1807</v>
      </c>
      <c r="U5" s="1" t="s">
        <v>1483</v>
      </c>
      <c r="V5" s="9"/>
      <c r="W5" s="1" t="s">
        <v>1808</v>
      </c>
      <c r="X5" s="1" t="s">
        <v>1809</v>
      </c>
      <c r="Y5" s="1">
        <v>8181731300</v>
      </c>
      <c r="Z5" s="11" t="s">
        <v>1813</v>
      </c>
      <c r="AA5" s="1" t="s">
        <v>1483</v>
      </c>
      <c r="AB5" s="9"/>
      <c r="AC5" s="1" t="s">
        <v>1810</v>
      </c>
      <c r="AD5" s="1" t="s">
        <v>1811</v>
      </c>
      <c r="AE5" s="1">
        <v>8181731300</v>
      </c>
      <c r="AF5" s="11" t="s">
        <v>1812</v>
      </c>
      <c r="AG5" s="1" t="s">
        <v>1483</v>
      </c>
      <c r="AI5" s="11" t="s">
        <v>1814</v>
      </c>
    </row>
    <row r="6" spans="1:36" x14ac:dyDescent="0.25">
      <c r="A6" s="1" t="s">
        <v>964</v>
      </c>
      <c r="B6" s="18" t="s">
        <v>3967</v>
      </c>
      <c r="C6" s="1" t="s">
        <v>2068</v>
      </c>
      <c r="D6" s="1" t="s">
        <v>2067</v>
      </c>
      <c r="E6" s="1" t="s">
        <v>2069</v>
      </c>
      <c r="F6" s="1" t="s">
        <v>4867</v>
      </c>
      <c r="G6" s="1" t="s">
        <v>4875</v>
      </c>
      <c r="H6" s="1" t="s">
        <v>4869</v>
      </c>
      <c r="I6" s="1" t="s">
        <v>4920</v>
      </c>
      <c r="J6" s="1" t="s">
        <v>4896</v>
      </c>
      <c r="K6" s="1" t="s">
        <v>4924</v>
      </c>
      <c r="L6" s="1" t="s">
        <v>2070</v>
      </c>
      <c r="M6" s="1">
        <v>8186894433</v>
      </c>
      <c r="N6" s="11" t="s">
        <v>2071</v>
      </c>
      <c r="O6" s="1">
        <v>8186894433</v>
      </c>
      <c r="P6" s="9"/>
      <c r="Q6" s="1" t="s">
        <v>2069</v>
      </c>
      <c r="R6" s="1" t="s">
        <v>2070</v>
      </c>
      <c r="S6" s="1">
        <v>8186894433</v>
      </c>
      <c r="T6" s="11" t="s">
        <v>2071</v>
      </c>
      <c r="U6" s="1">
        <v>8186894433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2072</v>
      </c>
    </row>
    <row r="7" spans="1:36" x14ac:dyDescent="0.25">
      <c r="A7" s="1" t="s">
        <v>965</v>
      </c>
      <c r="B7" s="18" t="s">
        <v>2908</v>
      </c>
      <c r="C7" s="1" t="s">
        <v>1839</v>
      </c>
      <c r="D7" s="1" t="s">
        <v>2784</v>
      </c>
      <c r="E7" s="1" t="s">
        <v>2073</v>
      </c>
      <c r="F7" s="1" t="s">
        <v>4865</v>
      </c>
      <c r="G7" s="1" t="s">
        <v>4875</v>
      </c>
      <c r="H7" s="1" t="s">
        <v>4869</v>
      </c>
      <c r="I7" s="1" t="s">
        <v>4954</v>
      </c>
      <c r="J7" s="1" t="s">
        <v>4896</v>
      </c>
      <c r="K7" s="1" t="s">
        <v>4943</v>
      </c>
      <c r="L7" s="1" t="s">
        <v>2074</v>
      </c>
      <c r="M7" s="1">
        <v>8117816934</v>
      </c>
      <c r="N7" s="11" t="s">
        <v>2075</v>
      </c>
      <c r="O7" s="1">
        <v>8117816934</v>
      </c>
      <c r="P7" s="9"/>
      <c r="Q7" s="1" t="s">
        <v>2076</v>
      </c>
      <c r="R7" s="1" t="s">
        <v>2077</v>
      </c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1" t="s">
        <v>2120</v>
      </c>
    </row>
    <row r="8" spans="1:36" x14ac:dyDescent="0.25">
      <c r="A8" s="1" t="s">
        <v>966</v>
      </c>
      <c r="B8" s="1"/>
      <c r="C8" s="1" t="s">
        <v>2013</v>
      </c>
      <c r="D8" s="1" t="s">
        <v>2116</v>
      </c>
      <c r="E8" s="1" t="s">
        <v>2117</v>
      </c>
      <c r="F8" s="1" t="s">
        <v>4863</v>
      </c>
      <c r="G8" s="1" t="s">
        <v>4872</v>
      </c>
      <c r="H8" s="1" t="s">
        <v>4869</v>
      </c>
      <c r="I8" s="1" t="s">
        <v>4933</v>
      </c>
      <c r="J8" s="1" t="s">
        <v>4896</v>
      </c>
      <c r="K8" s="1" t="s">
        <v>4911</v>
      </c>
      <c r="L8" s="1" t="s">
        <v>1482</v>
      </c>
      <c r="M8" s="1">
        <v>8241263024</v>
      </c>
      <c r="N8" s="11" t="s">
        <v>2118</v>
      </c>
      <c r="O8" s="1">
        <v>8241263024</v>
      </c>
      <c r="P8" s="9"/>
      <c r="Q8" s="1" t="s">
        <v>2117</v>
      </c>
      <c r="R8" s="1" t="s">
        <v>1482</v>
      </c>
      <c r="S8" s="1">
        <v>8241263024</v>
      </c>
      <c r="T8" s="11" t="s">
        <v>2118</v>
      </c>
      <c r="U8" s="1">
        <v>8241263024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2119</v>
      </c>
    </row>
    <row r="9" spans="1:36" x14ac:dyDescent="0.25">
      <c r="A9" s="1" t="s">
        <v>967</v>
      </c>
      <c r="B9" s="18" t="s">
        <v>3966</v>
      </c>
      <c r="C9" s="1" t="s">
        <v>2068</v>
      </c>
      <c r="D9" s="1" t="s">
        <v>2596</v>
      </c>
      <c r="E9" s="1" t="s">
        <v>2597</v>
      </c>
      <c r="F9" s="1" t="s">
        <v>4865</v>
      </c>
      <c r="G9" s="1" t="s">
        <v>4874</v>
      </c>
      <c r="H9" s="1" t="s">
        <v>4869</v>
      </c>
      <c r="I9" s="1" t="s">
        <v>4920</v>
      </c>
      <c r="J9" s="1" t="s">
        <v>4896</v>
      </c>
      <c r="K9" s="1" t="s">
        <v>4911</v>
      </c>
      <c r="L9" s="1" t="s">
        <v>2598</v>
      </c>
      <c r="M9" s="1" t="s">
        <v>1483</v>
      </c>
      <c r="N9" s="1" t="s">
        <v>1483</v>
      </c>
      <c r="O9" s="1" t="s">
        <v>1483</v>
      </c>
      <c r="P9" s="9"/>
      <c r="Q9" s="1" t="s">
        <v>2599</v>
      </c>
      <c r="R9" s="1" t="s">
        <v>2600</v>
      </c>
      <c r="S9" s="1">
        <v>8119226546</v>
      </c>
      <c r="T9" s="11" t="s">
        <v>2601</v>
      </c>
      <c r="U9" s="1">
        <v>8119226546</v>
      </c>
      <c r="V9" s="9"/>
      <c r="W9" s="1" t="s">
        <v>2602</v>
      </c>
      <c r="X9" s="1" t="s">
        <v>2603</v>
      </c>
      <c r="Y9" s="1">
        <v>8115903657</v>
      </c>
      <c r="Z9" s="11" t="s">
        <v>2604</v>
      </c>
      <c r="AA9" s="1">
        <v>8115903657</v>
      </c>
      <c r="AB9" s="9"/>
      <c r="AC9" s="1" t="s">
        <v>2605</v>
      </c>
      <c r="AD9" s="1" t="s">
        <v>2606</v>
      </c>
      <c r="AE9" s="1">
        <v>8119176582</v>
      </c>
      <c r="AF9" s="11" t="s">
        <v>2607</v>
      </c>
      <c r="AG9" s="1">
        <v>8119176582</v>
      </c>
      <c r="AI9" s="11" t="s">
        <v>2608</v>
      </c>
    </row>
    <row r="10" spans="1:36" x14ac:dyDescent="0.25">
      <c r="A10" s="1" t="s">
        <v>968</v>
      </c>
      <c r="B10" s="18" t="s">
        <v>3965</v>
      </c>
      <c r="C10" s="1" t="s">
        <v>2068</v>
      </c>
      <c r="D10" s="1" t="s">
        <v>2609</v>
      </c>
      <c r="E10" s="1" t="s">
        <v>2610</v>
      </c>
      <c r="F10" s="1" t="s">
        <v>4865</v>
      </c>
      <c r="G10" s="1" t="s">
        <v>4874</v>
      </c>
      <c r="H10" s="1" t="s">
        <v>4869</v>
      </c>
      <c r="I10" s="1" t="s">
        <v>5003</v>
      </c>
      <c r="J10" s="1" t="s">
        <v>4896</v>
      </c>
      <c r="K10" s="1" t="s">
        <v>4911</v>
      </c>
      <c r="L10" s="1" t="s">
        <v>1483</v>
      </c>
      <c r="M10" s="1" t="s">
        <v>1483</v>
      </c>
      <c r="N10" s="1" t="s">
        <v>1483</v>
      </c>
      <c r="O10" s="1" t="s">
        <v>1483</v>
      </c>
      <c r="P10" s="9"/>
      <c r="Q10" s="1" t="s">
        <v>2611</v>
      </c>
      <c r="R10" s="1" t="s">
        <v>1499</v>
      </c>
      <c r="S10" s="1" t="s">
        <v>2612</v>
      </c>
      <c r="T10" s="11" t="s">
        <v>2613</v>
      </c>
      <c r="U10" s="1">
        <v>8115008250</v>
      </c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1" t="s">
        <v>2614</v>
      </c>
    </row>
    <row r="11" spans="1:36" x14ac:dyDescent="0.25">
      <c r="A11" s="1" t="s">
        <v>969</v>
      </c>
      <c r="B11" s="18" t="s">
        <v>2907</v>
      </c>
      <c r="C11" s="1" t="s">
        <v>2616</v>
      </c>
      <c r="D11" s="1" t="s">
        <v>2615</v>
      </c>
      <c r="E11" s="1" t="s">
        <v>2617</v>
      </c>
      <c r="F11" s="1" t="s">
        <v>4863</v>
      </c>
      <c r="G11" s="1" t="s">
        <v>4875</v>
      </c>
      <c r="H11" s="1" t="s">
        <v>4868</v>
      </c>
      <c r="I11" s="1" t="s">
        <v>4948</v>
      </c>
      <c r="J11" s="1" t="s">
        <v>4896</v>
      </c>
      <c r="K11" s="15" t="s">
        <v>4911</v>
      </c>
      <c r="L11" s="1" t="s">
        <v>2618</v>
      </c>
      <c r="M11" s="1">
        <v>8120336764</v>
      </c>
      <c r="N11" s="11" t="s">
        <v>2619</v>
      </c>
      <c r="O11" s="1" t="s">
        <v>1483</v>
      </c>
      <c r="P11" s="9"/>
      <c r="Q11" s="1" t="s">
        <v>2617</v>
      </c>
      <c r="R11" s="1" t="s">
        <v>2618</v>
      </c>
      <c r="S11" s="1">
        <v>8120336764</v>
      </c>
      <c r="T11" s="11" t="s">
        <v>2619</v>
      </c>
      <c r="U11" s="1" t="s">
        <v>1483</v>
      </c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1" t="s">
        <v>2620</v>
      </c>
    </row>
    <row r="12" spans="1:36" x14ac:dyDescent="0.25">
      <c r="A12" s="1" t="s">
        <v>970</v>
      </c>
      <c r="B12" s="1"/>
      <c r="C12" s="1" t="s">
        <v>2622</v>
      </c>
      <c r="D12" s="1" t="s">
        <v>2621</v>
      </c>
      <c r="E12" s="1" t="s">
        <v>2623</v>
      </c>
      <c r="F12" s="1" t="s">
        <v>4863</v>
      </c>
      <c r="G12" s="1" t="s">
        <v>4873</v>
      </c>
      <c r="H12" s="1" t="s">
        <v>4869</v>
      </c>
      <c r="I12" s="1" t="s">
        <v>5097</v>
      </c>
      <c r="J12" s="1" t="s">
        <v>4896</v>
      </c>
      <c r="K12" s="1" t="s">
        <v>4911</v>
      </c>
      <c r="L12" s="1" t="s">
        <v>1661</v>
      </c>
      <c r="M12" s="1">
        <v>8115557623</v>
      </c>
      <c r="N12" s="11" t="s">
        <v>2624</v>
      </c>
      <c r="O12" s="1">
        <v>811557623</v>
      </c>
      <c r="P12" s="9"/>
      <c r="Q12" s="1" t="s">
        <v>2625</v>
      </c>
      <c r="R12" s="1" t="s">
        <v>2626</v>
      </c>
      <c r="S12" s="1" t="s">
        <v>1483</v>
      </c>
      <c r="T12" s="11" t="s">
        <v>2627</v>
      </c>
      <c r="U12" s="1">
        <v>8180121613</v>
      </c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1" t="s">
        <v>2628</v>
      </c>
    </row>
    <row r="13" spans="1:36" x14ac:dyDescent="0.25">
      <c r="A13" s="1" t="s">
        <v>971</v>
      </c>
      <c r="B13" s="18" t="s">
        <v>2908</v>
      </c>
      <c r="C13" s="1" t="s">
        <v>2630</v>
      </c>
      <c r="D13" s="1" t="s">
        <v>2629</v>
      </c>
      <c r="E13" s="1" t="s">
        <v>2631</v>
      </c>
      <c r="F13" s="1" t="s">
        <v>4864</v>
      </c>
      <c r="G13" s="1" t="s">
        <v>4874</v>
      </c>
      <c r="H13" s="1" t="s">
        <v>4869</v>
      </c>
      <c r="I13" s="1" t="s">
        <v>4954</v>
      </c>
      <c r="J13" s="1" t="s">
        <v>4896</v>
      </c>
      <c r="K13" s="1" t="s">
        <v>4943</v>
      </c>
      <c r="L13" s="1" t="s">
        <v>1430</v>
      </c>
      <c r="M13" s="1">
        <v>8117816934</v>
      </c>
      <c r="N13" s="11" t="s">
        <v>2632</v>
      </c>
      <c r="O13" s="1">
        <v>8117816934</v>
      </c>
      <c r="P13" s="9"/>
      <c r="Q13" s="1" t="s">
        <v>2633</v>
      </c>
      <c r="R13" s="1" t="s">
        <v>2077</v>
      </c>
      <c r="S13" s="1">
        <v>8116007662</v>
      </c>
      <c r="T13" s="11" t="s">
        <v>2634</v>
      </c>
      <c r="U13" s="1">
        <v>8116007662</v>
      </c>
      <c r="V13" s="9"/>
      <c r="W13" s="1" t="s">
        <v>2635</v>
      </c>
      <c r="X13" s="1" t="s">
        <v>2636</v>
      </c>
      <c r="Y13" s="1">
        <v>8186567184</v>
      </c>
      <c r="Z13" s="11" t="s">
        <v>2637</v>
      </c>
      <c r="AA13" s="1">
        <v>8186567184</v>
      </c>
      <c r="AB13" s="9"/>
      <c r="AC13" s="1"/>
      <c r="AD13" s="1"/>
      <c r="AE13" s="1"/>
      <c r="AF13" s="1"/>
      <c r="AG13" s="1"/>
      <c r="AI13" s="11" t="s">
        <v>2638</v>
      </c>
    </row>
    <row r="14" spans="1:36" x14ac:dyDescent="0.25">
      <c r="A14" s="1" t="s">
        <v>972</v>
      </c>
      <c r="B14" s="18" t="s">
        <v>4000</v>
      </c>
      <c r="C14" s="1" t="s">
        <v>3302</v>
      </c>
      <c r="D14" s="1" t="s">
        <v>3303</v>
      </c>
      <c r="E14" s="1" t="s">
        <v>3304</v>
      </c>
      <c r="F14" s="1" t="s">
        <v>4865</v>
      </c>
      <c r="G14" s="1" t="s">
        <v>4873</v>
      </c>
      <c r="H14" s="1" t="s">
        <v>4869</v>
      </c>
      <c r="I14" s="1" t="s">
        <v>4920</v>
      </c>
      <c r="J14" s="1" t="s">
        <v>4896</v>
      </c>
      <c r="K14" s="1" t="s">
        <v>4911</v>
      </c>
      <c r="L14" s="1" t="s">
        <v>3306</v>
      </c>
      <c r="M14" s="1">
        <v>8117450354</v>
      </c>
      <c r="N14" s="11" t="s">
        <v>3307</v>
      </c>
      <c r="O14" s="1">
        <v>8117450354</v>
      </c>
      <c r="P14" s="9"/>
      <c r="Q14" s="1" t="s">
        <v>3304</v>
      </c>
      <c r="R14" s="1" t="s">
        <v>3306</v>
      </c>
      <c r="S14" s="1">
        <v>8117450354</v>
      </c>
      <c r="T14" s="11" t="s">
        <v>3307</v>
      </c>
      <c r="U14" s="1">
        <v>8117450354</v>
      </c>
      <c r="V14" s="9"/>
      <c r="W14" s="1" t="s">
        <v>3308</v>
      </c>
      <c r="X14" s="1" t="s">
        <v>3305</v>
      </c>
      <c r="Y14" s="1">
        <v>8126171174</v>
      </c>
      <c r="Z14" s="11" t="s">
        <v>3309</v>
      </c>
      <c r="AA14" s="1">
        <v>8126171174</v>
      </c>
      <c r="AB14" s="9"/>
      <c r="AC14" s="1"/>
      <c r="AD14" s="1"/>
      <c r="AE14" s="1"/>
      <c r="AF14" s="1"/>
      <c r="AG14" s="1"/>
      <c r="AI14" s="17" t="s">
        <v>3814</v>
      </c>
      <c r="AJ14" s="11"/>
    </row>
    <row r="15" spans="1:36" x14ac:dyDescent="0.25">
      <c r="A15" s="1" t="s">
        <v>973</v>
      </c>
      <c r="B15" s="1"/>
      <c r="C15" s="1" t="s">
        <v>3076</v>
      </c>
      <c r="D15" s="1" t="s">
        <v>3310</v>
      </c>
      <c r="E15" s="1" t="s">
        <v>3311</v>
      </c>
      <c r="F15" s="1" t="s">
        <v>4863</v>
      </c>
      <c r="G15" s="1" t="s">
        <v>4873</v>
      </c>
      <c r="H15" s="1" t="s">
        <v>4869</v>
      </c>
      <c r="I15" s="1" t="s">
        <v>5098</v>
      </c>
      <c r="J15" s="1" t="s">
        <v>4896</v>
      </c>
      <c r="K15" s="1" t="s">
        <v>4911</v>
      </c>
      <c r="L15" s="1" t="s">
        <v>3312</v>
      </c>
      <c r="M15" s="1">
        <v>8139520825</v>
      </c>
      <c r="N15" s="11" t="s">
        <v>3313</v>
      </c>
      <c r="O15" s="1">
        <v>8129176061</v>
      </c>
      <c r="P15" s="9"/>
      <c r="Q15" s="1" t="s">
        <v>3311</v>
      </c>
      <c r="R15" s="1" t="s">
        <v>3312</v>
      </c>
      <c r="S15" s="1">
        <v>8139520825</v>
      </c>
      <c r="T15" s="11" t="s">
        <v>3313</v>
      </c>
      <c r="U15" s="1">
        <v>8129176061</v>
      </c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7" t="s">
        <v>3815</v>
      </c>
      <c r="AJ15" s="11"/>
    </row>
    <row r="16" spans="1:36" x14ac:dyDescent="0.25">
      <c r="A16" s="1" t="s">
        <v>974</v>
      </c>
      <c r="B16" s="18" t="s">
        <v>3964</v>
      </c>
      <c r="C16" s="1" t="s">
        <v>3182</v>
      </c>
      <c r="D16" s="1" t="s">
        <v>3314</v>
      </c>
      <c r="E16" s="1" t="s">
        <v>3315</v>
      </c>
      <c r="F16" s="1" t="s">
        <v>4863</v>
      </c>
      <c r="G16" s="1" t="s">
        <v>4875</v>
      </c>
      <c r="H16" s="1" t="s">
        <v>4868</v>
      </c>
      <c r="I16" s="1" t="s">
        <v>5099</v>
      </c>
      <c r="J16" s="1" t="s">
        <v>4896</v>
      </c>
      <c r="K16" s="1" t="s">
        <v>4911</v>
      </c>
      <c r="L16" s="1" t="s">
        <v>1745</v>
      </c>
      <c r="M16" s="1">
        <v>8120209594</v>
      </c>
      <c r="N16" s="11" t="s">
        <v>3316</v>
      </c>
      <c r="O16" s="1">
        <v>8122055847</v>
      </c>
      <c r="P16" s="9"/>
      <c r="Q16" s="1" t="s">
        <v>3315</v>
      </c>
      <c r="R16" s="1" t="s">
        <v>1745</v>
      </c>
      <c r="S16" s="1">
        <v>8120209594</v>
      </c>
      <c r="T16" s="11" t="s">
        <v>3316</v>
      </c>
      <c r="U16" s="1">
        <v>8122055847</v>
      </c>
      <c r="V16" s="9"/>
      <c r="W16" s="1" t="s">
        <v>3317</v>
      </c>
      <c r="X16" s="1" t="s">
        <v>3318</v>
      </c>
      <c r="Y16" s="1">
        <v>8120209594</v>
      </c>
      <c r="Z16" s="11" t="s">
        <v>3319</v>
      </c>
      <c r="AA16" s="1">
        <v>8126417023</v>
      </c>
      <c r="AB16" s="9"/>
      <c r="AC16" s="1" t="s">
        <v>3320</v>
      </c>
      <c r="AD16" s="1" t="s">
        <v>3321</v>
      </c>
      <c r="AE16" s="1">
        <v>8120209594</v>
      </c>
      <c r="AF16" s="11" t="s">
        <v>3322</v>
      </c>
      <c r="AG16" s="1">
        <v>8110147850</v>
      </c>
      <c r="AI16" s="17" t="s">
        <v>3816</v>
      </c>
      <c r="AJ16" s="11"/>
    </row>
    <row r="17" spans="1:36" x14ac:dyDescent="0.25">
      <c r="A17" s="1" t="s">
        <v>975</v>
      </c>
      <c r="B17" s="18" t="s">
        <v>3963</v>
      </c>
      <c r="C17" s="1" t="s">
        <v>3323</v>
      </c>
      <c r="D17" s="1" t="s">
        <v>3324</v>
      </c>
      <c r="E17" s="1" t="s">
        <v>3325</v>
      </c>
      <c r="F17" s="1" t="s">
        <v>4867</v>
      </c>
      <c r="G17" s="1" t="s">
        <v>4875</v>
      </c>
      <c r="H17" s="1" t="s">
        <v>4869</v>
      </c>
      <c r="I17" s="1" t="s">
        <v>4920</v>
      </c>
      <c r="J17" s="1" t="s">
        <v>4896</v>
      </c>
      <c r="K17" s="1" t="s">
        <v>4924</v>
      </c>
      <c r="L17" s="1" t="s">
        <v>1483</v>
      </c>
      <c r="M17" s="1" t="s">
        <v>1483</v>
      </c>
      <c r="N17" s="1" t="s">
        <v>1483</v>
      </c>
      <c r="O17" s="1" t="s">
        <v>1483</v>
      </c>
      <c r="P17" s="9"/>
      <c r="Q17" s="1" t="s">
        <v>3326</v>
      </c>
      <c r="R17" s="1" t="s">
        <v>3327</v>
      </c>
      <c r="S17" s="1">
        <v>8125252730</v>
      </c>
      <c r="T17" s="11" t="s">
        <v>3328</v>
      </c>
      <c r="U17" s="1">
        <v>8110714865</v>
      </c>
      <c r="V17" s="9"/>
      <c r="W17" s="1" t="s">
        <v>3329</v>
      </c>
      <c r="X17" s="1" t="s">
        <v>3330</v>
      </c>
      <c r="Y17" s="1">
        <v>8125252730</v>
      </c>
      <c r="Z17" s="11" t="s">
        <v>3331</v>
      </c>
      <c r="AA17" s="1">
        <v>8180117992</v>
      </c>
      <c r="AB17" s="9"/>
      <c r="AC17" s="1" t="s">
        <v>3325</v>
      </c>
      <c r="AD17" s="1" t="s">
        <v>3332</v>
      </c>
      <c r="AE17" s="1">
        <v>8125252730</v>
      </c>
      <c r="AF17" s="11" t="s">
        <v>3333</v>
      </c>
      <c r="AG17" s="1">
        <v>8116838136</v>
      </c>
      <c r="AI17" s="17" t="s">
        <v>3817</v>
      </c>
      <c r="AJ17" s="11"/>
    </row>
    <row r="18" spans="1:36" x14ac:dyDescent="0.25">
      <c r="A18" s="1" t="s">
        <v>976</v>
      </c>
      <c r="B18" s="1"/>
      <c r="C18" s="1" t="s">
        <v>3302</v>
      </c>
      <c r="D18" s="1" t="s">
        <v>3334</v>
      </c>
      <c r="E18" s="1" t="s">
        <v>3304</v>
      </c>
      <c r="F18" s="1" t="s">
        <v>4863</v>
      </c>
      <c r="G18" s="1" t="s">
        <v>4872</v>
      </c>
      <c r="H18" s="1" t="s">
        <v>4869</v>
      </c>
      <c r="I18" s="1" t="s">
        <v>4933</v>
      </c>
      <c r="J18" s="1" t="s">
        <v>4896</v>
      </c>
      <c r="K18" s="1" t="s">
        <v>4911</v>
      </c>
      <c r="L18" s="1" t="s">
        <v>3334</v>
      </c>
      <c r="M18" s="1">
        <v>8117450354</v>
      </c>
      <c r="N18" s="11" t="s">
        <v>3307</v>
      </c>
      <c r="O18" s="1">
        <v>8117450354</v>
      </c>
      <c r="P18" s="9"/>
      <c r="Q18" s="1" t="s">
        <v>3304</v>
      </c>
      <c r="R18" s="1" t="s">
        <v>3334</v>
      </c>
      <c r="S18" s="1">
        <v>8117450354</v>
      </c>
      <c r="T18" s="11" t="s">
        <v>3307</v>
      </c>
      <c r="U18" s="1">
        <v>8117450354</v>
      </c>
      <c r="V18" s="9"/>
      <c r="W18" s="1" t="s">
        <v>3335</v>
      </c>
      <c r="X18" s="1" t="s">
        <v>3305</v>
      </c>
      <c r="Y18" s="1">
        <v>8126171174</v>
      </c>
      <c r="Z18" s="11" t="s">
        <v>3309</v>
      </c>
      <c r="AA18" s="1">
        <v>8126171174</v>
      </c>
      <c r="AB18" s="9"/>
      <c r="AC18" s="1"/>
      <c r="AD18" s="1"/>
      <c r="AE18" s="1"/>
      <c r="AF18" s="1"/>
      <c r="AG18" s="1"/>
      <c r="AI18" s="17" t="s">
        <v>3818</v>
      </c>
      <c r="AJ18" s="11"/>
    </row>
    <row r="19" spans="1:36" x14ac:dyDescent="0.25">
      <c r="A19" s="1" t="s">
        <v>977</v>
      </c>
      <c r="B19" s="1"/>
      <c r="C19" s="1" t="s">
        <v>3076</v>
      </c>
      <c r="D19" s="1" t="s">
        <v>3336</v>
      </c>
      <c r="E19" s="1" t="s">
        <v>3337</v>
      </c>
      <c r="F19" s="1" t="s">
        <v>4865</v>
      </c>
      <c r="G19" s="1" t="s">
        <v>4874</v>
      </c>
      <c r="H19" s="1" t="s">
        <v>4869</v>
      </c>
      <c r="I19" s="1" t="s">
        <v>4918</v>
      </c>
      <c r="J19" s="1" t="s">
        <v>4896</v>
      </c>
      <c r="K19" s="1" t="s">
        <v>4911</v>
      </c>
      <c r="L19" s="1" t="s">
        <v>3338</v>
      </c>
      <c r="M19" s="1">
        <v>8188658080</v>
      </c>
      <c r="N19" s="11" t="s">
        <v>3339</v>
      </c>
      <c r="O19" s="1">
        <v>8120406280</v>
      </c>
      <c r="P19" s="9"/>
      <c r="Q19" s="1" t="s">
        <v>3337</v>
      </c>
      <c r="R19" s="1" t="s">
        <v>3338</v>
      </c>
      <c r="S19" s="1">
        <v>8188658080</v>
      </c>
      <c r="T19" s="11" t="s">
        <v>3339</v>
      </c>
      <c r="U19" s="1">
        <v>8120406280</v>
      </c>
      <c r="V19" s="9"/>
      <c r="W19" s="1" t="s">
        <v>3340</v>
      </c>
      <c r="X19" s="1" t="s">
        <v>3163</v>
      </c>
      <c r="Y19" s="1">
        <v>8188658080</v>
      </c>
      <c r="Z19" s="11" t="s">
        <v>3341</v>
      </c>
      <c r="AA19" s="1">
        <v>8117782986</v>
      </c>
      <c r="AB19" s="9"/>
      <c r="AC19" s="1"/>
      <c r="AD19" s="1"/>
      <c r="AE19" s="1"/>
      <c r="AF19" s="1"/>
      <c r="AG19" s="1"/>
      <c r="AI19" s="17" t="s">
        <v>3819</v>
      </c>
      <c r="AJ19" s="11"/>
    </row>
    <row r="20" spans="1:36" x14ac:dyDescent="0.25">
      <c r="A20" s="1" t="s">
        <v>978</v>
      </c>
      <c r="B20" s="18" t="s">
        <v>3962</v>
      </c>
      <c r="C20" s="1" t="s">
        <v>2616</v>
      </c>
      <c r="D20" s="1" t="s">
        <v>3342</v>
      </c>
      <c r="E20" s="1" t="s">
        <v>3343</v>
      </c>
      <c r="F20" s="1" t="s">
        <v>4867</v>
      </c>
      <c r="G20" s="1" t="s">
        <v>4875</v>
      </c>
      <c r="H20" s="1" t="s">
        <v>5100</v>
      </c>
      <c r="I20" s="1" t="s">
        <v>4949</v>
      </c>
      <c r="J20" s="1" t="s">
        <v>4896</v>
      </c>
      <c r="K20" s="1" t="s">
        <v>4911</v>
      </c>
      <c r="L20" s="1" t="s">
        <v>3344</v>
      </c>
      <c r="M20" s="1" t="s">
        <v>1398</v>
      </c>
      <c r="N20" s="11" t="s">
        <v>3345</v>
      </c>
      <c r="O20" s="1" t="s">
        <v>1398</v>
      </c>
      <c r="P20" s="9"/>
      <c r="Q20" s="1" t="s">
        <v>3343</v>
      </c>
      <c r="R20" s="1" t="s">
        <v>3344</v>
      </c>
      <c r="S20" s="1" t="s">
        <v>1398</v>
      </c>
      <c r="T20" s="11" t="s">
        <v>3345</v>
      </c>
      <c r="U20" s="1" t="s">
        <v>1398</v>
      </c>
      <c r="V20" s="9"/>
      <c r="W20" s="1" t="s">
        <v>3346</v>
      </c>
      <c r="X20" s="1" t="s">
        <v>3347</v>
      </c>
      <c r="Y20" s="1" t="s">
        <v>1398</v>
      </c>
      <c r="Z20" s="11" t="s">
        <v>3348</v>
      </c>
      <c r="AA20" s="1" t="s">
        <v>1398</v>
      </c>
      <c r="AB20" s="9"/>
      <c r="AC20" s="1"/>
      <c r="AD20" s="1"/>
      <c r="AE20" s="1"/>
      <c r="AF20" s="1"/>
      <c r="AG20" s="1"/>
      <c r="AI20" s="17" t="s">
        <v>3820</v>
      </c>
      <c r="AJ20" s="11"/>
    </row>
    <row r="21" spans="1:36" x14ac:dyDescent="0.25">
      <c r="A21" s="1" t="s">
        <v>979</v>
      </c>
      <c r="B21" s="1"/>
      <c r="C21" s="1" t="s">
        <v>3349</v>
      </c>
      <c r="D21" s="1" t="s">
        <v>3350</v>
      </c>
      <c r="E21" s="1" t="s">
        <v>3351</v>
      </c>
      <c r="F21" s="1" t="s">
        <v>4865</v>
      </c>
      <c r="G21" s="1" t="s">
        <v>4873</v>
      </c>
      <c r="H21" s="1" t="s">
        <v>4869</v>
      </c>
      <c r="I21" s="1" t="s">
        <v>4933</v>
      </c>
      <c r="J21" s="1" t="s">
        <v>4896</v>
      </c>
      <c r="K21" s="1" t="s">
        <v>4911</v>
      </c>
      <c r="L21" s="1" t="s">
        <v>1989</v>
      </c>
      <c r="M21" s="1">
        <v>8118005240</v>
      </c>
      <c r="N21" s="11" t="s">
        <v>3352</v>
      </c>
      <c r="O21" s="1">
        <v>8118005240</v>
      </c>
      <c r="P21" s="9"/>
      <c r="Q21" s="1" t="s">
        <v>3351</v>
      </c>
      <c r="R21" s="1" t="s">
        <v>1989</v>
      </c>
      <c r="S21" s="1">
        <v>8118005240</v>
      </c>
      <c r="T21" s="11" t="s">
        <v>3352</v>
      </c>
      <c r="U21" s="1">
        <v>8118005240</v>
      </c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7" t="s">
        <v>3821</v>
      </c>
      <c r="AJ21" s="11"/>
    </row>
    <row r="22" spans="1:36" x14ac:dyDescent="0.25">
      <c r="A22" s="1" t="s">
        <v>980</v>
      </c>
      <c r="B22" s="1"/>
      <c r="C22" s="1" t="s">
        <v>3482</v>
      </c>
      <c r="D22" s="1" t="s">
        <v>3613</v>
      </c>
      <c r="E22" s="1" t="s">
        <v>1483</v>
      </c>
      <c r="F22" s="1" t="s">
        <v>4863</v>
      </c>
      <c r="G22" s="1" t="s">
        <v>4873</v>
      </c>
      <c r="H22" s="1" t="s">
        <v>4869</v>
      </c>
      <c r="I22" s="1" t="s">
        <v>4920</v>
      </c>
      <c r="J22" s="1" t="s">
        <v>4896</v>
      </c>
      <c r="K22" s="1" t="s">
        <v>4911</v>
      </c>
      <c r="L22" s="1" t="s">
        <v>1483</v>
      </c>
      <c r="M22" s="1" t="s">
        <v>1483</v>
      </c>
      <c r="N22" s="1" t="s">
        <v>1483</v>
      </c>
      <c r="O22" s="1" t="s">
        <v>1483</v>
      </c>
      <c r="P22" s="9"/>
      <c r="Q22" s="1" t="s">
        <v>3614</v>
      </c>
      <c r="R22" s="1" t="s">
        <v>1511</v>
      </c>
      <c r="S22" s="1" t="s">
        <v>3615</v>
      </c>
      <c r="T22" s="11" t="s">
        <v>3616</v>
      </c>
      <c r="U22" s="1">
        <v>8134028706</v>
      </c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1" t="s">
        <v>3617</v>
      </c>
    </row>
    <row r="23" spans="1:36" x14ac:dyDescent="0.25">
      <c r="A23" s="1" t="s">
        <v>981</v>
      </c>
      <c r="B23" s="18" t="s">
        <v>3999</v>
      </c>
      <c r="C23" s="1" t="s">
        <v>3688</v>
      </c>
      <c r="D23" s="1" t="s">
        <v>3735</v>
      </c>
      <c r="E23" s="1" t="s">
        <v>3736</v>
      </c>
      <c r="F23" s="1" t="s">
        <v>4867</v>
      </c>
      <c r="G23" s="1" t="s">
        <v>4875</v>
      </c>
      <c r="H23" s="1" t="s">
        <v>4869</v>
      </c>
      <c r="I23" s="1" t="s">
        <v>5010</v>
      </c>
      <c r="J23" s="1" t="s">
        <v>4896</v>
      </c>
      <c r="K23" s="1" t="s">
        <v>4911</v>
      </c>
      <c r="L23" s="1" t="s">
        <v>3737</v>
      </c>
      <c r="M23" s="1">
        <v>8116367850</v>
      </c>
      <c r="N23" s="11" t="s">
        <v>3738</v>
      </c>
      <c r="O23" s="1">
        <v>8116367850</v>
      </c>
      <c r="P23" s="9"/>
      <c r="Q23" s="1" t="s">
        <v>3736</v>
      </c>
      <c r="R23" s="1" t="s">
        <v>3737</v>
      </c>
      <c r="S23" s="1">
        <v>8116367850</v>
      </c>
      <c r="T23" s="11" t="s">
        <v>3738</v>
      </c>
      <c r="U23" s="1">
        <v>8116367850</v>
      </c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1" t="s">
        <v>3739</v>
      </c>
    </row>
    <row r="24" spans="1:36" x14ac:dyDescent="0.25">
      <c r="A24" s="1" t="s">
        <v>982</v>
      </c>
      <c r="B24" s="1"/>
      <c r="C24" s="1" t="s">
        <v>3688</v>
      </c>
      <c r="D24" s="1" t="s">
        <v>3752</v>
      </c>
      <c r="E24" s="1" t="s">
        <v>3753</v>
      </c>
      <c r="F24" s="1" t="s">
        <v>4863</v>
      </c>
      <c r="G24" s="1" t="s">
        <v>4873</v>
      </c>
      <c r="H24" s="1" t="s">
        <v>4869</v>
      </c>
      <c r="I24" s="1" t="s">
        <v>4933</v>
      </c>
      <c r="J24" s="1" t="s">
        <v>4896</v>
      </c>
      <c r="K24" s="1" t="s">
        <v>4911</v>
      </c>
      <c r="L24" s="1" t="s">
        <v>3754</v>
      </c>
      <c r="M24" s="1">
        <v>8135939929</v>
      </c>
      <c r="N24" s="11" t="s">
        <v>3755</v>
      </c>
      <c r="O24" s="1">
        <v>8135939929</v>
      </c>
      <c r="P24" s="9"/>
      <c r="Q24" s="1" t="s">
        <v>3753</v>
      </c>
      <c r="R24" s="1" t="s">
        <v>3754</v>
      </c>
      <c r="S24" s="1">
        <v>8135939929</v>
      </c>
      <c r="T24" s="11" t="s">
        <v>3755</v>
      </c>
      <c r="U24" s="1">
        <v>8135939929</v>
      </c>
      <c r="V24" s="9"/>
      <c r="W24" s="1" t="s">
        <v>3756</v>
      </c>
      <c r="X24" s="1" t="s">
        <v>1499</v>
      </c>
      <c r="Y24" s="1">
        <v>8116297212</v>
      </c>
      <c r="Z24" s="11" t="s">
        <v>3757</v>
      </c>
      <c r="AA24" s="1">
        <v>8116297212</v>
      </c>
      <c r="AB24" s="9"/>
      <c r="AC24" s="1"/>
      <c r="AD24" s="1"/>
      <c r="AE24" s="1"/>
      <c r="AF24" s="1"/>
      <c r="AG24" s="1"/>
      <c r="AI24" s="11" t="s">
        <v>3758</v>
      </c>
    </row>
    <row r="25" spans="1:36" x14ac:dyDescent="0.25">
      <c r="A25" s="1" t="s">
        <v>983</v>
      </c>
      <c r="B25" s="18" t="s">
        <v>3961</v>
      </c>
      <c r="C25" s="1" t="s">
        <v>2977</v>
      </c>
      <c r="D25" s="1" t="s">
        <v>3851</v>
      </c>
      <c r="E25" s="1" t="s">
        <v>3852</v>
      </c>
      <c r="F25" s="1" t="s">
        <v>4865</v>
      </c>
      <c r="G25" s="1" t="s">
        <v>4873</v>
      </c>
      <c r="H25" s="1" t="s">
        <v>4869</v>
      </c>
      <c r="I25" s="1" t="s">
        <v>4917</v>
      </c>
      <c r="J25" s="1" t="s">
        <v>4896</v>
      </c>
      <c r="K25" s="1" t="s">
        <v>4911</v>
      </c>
      <c r="L25" s="1" t="s">
        <v>2164</v>
      </c>
      <c r="M25" s="1">
        <v>8110656444</v>
      </c>
      <c r="N25" s="11" t="s">
        <v>3853</v>
      </c>
      <c r="O25" s="1">
        <v>8110656444</v>
      </c>
      <c r="P25" s="9"/>
      <c r="Q25" s="1" t="s">
        <v>3852</v>
      </c>
      <c r="R25" s="1" t="s">
        <v>2164</v>
      </c>
      <c r="S25" s="1">
        <v>8110656444</v>
      </c>
      <c r="T25" s="11" t="s">
        <v>3853</v>
      </c>
      <c r="U25" s="1">
        <v>8110656444</v>
      </c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1" t="s">
        <v>3854</v>
      </c>
    </row>
    <row r="26" spans="1:36" x14ac:dyDescent="0.25">
      <c r="A26" s="1" t="s">
        <v>984</v>
      </c>
      <c r="B26" s="18" t="s">
        <v>3960</v>
      </c>
      <c r="C26" s="1" t="s">
        <v>3855</v>
      </c>
      <c r="D26" s="13" t="s">
        <v>3858</v>
      </c>
      <c r="E26" s="1" t="s">
        <v>3857</v>
      </c>
      <c r="F26" s="1" t="s">
        <v>4867</v>
      </c>
      <c r="G26" s="1" t="s">
        <v>4875</v>
      </c>
      <c r="H26" s="1" t="s">
        <v>4869</v>
      </c>
      <c r="I26" s="1" t="s">
        <v>5002</v>
      </c>
      <c r="J26" s="1" t="s">
        <v>4896</v>
      </c>
      <c r="K26" s="1" t="s">
        <v>4911</v>
      </c>
      <c r="L26" s="1" t="s">
        <v>3856</v>
      </c>
      <c r="M26" s="1">
        <v>8119902387</v>
      </c>
      <c r="N26" s="11" t="s">
        <v>3859</v>
      </c>
      <c r="O26" s="1">
        <v>8119902387</v>
      </c>
      <c r="P26" s="9"/>
      <c r="Q26" s="1" t="s">
        <v>3857</v>
      </c>
      <c r="R26" s="1" t="s">
        <v>3856</v>
      </c>
      <c r="S26" s="1">
        <v>8119902387</v>
      </c>
      <c r="T26" s="11" t="s">
        <v>3859</v>
      </c>
      <c r="U26" s="1">
        <v>8119902387</v>
      </c>
      <c r="V26" s="9"/>
      <c r="W26" s="1" t="s">
        <v>3860</v>
      </c>
      <c r="X26" s="1" t="s">
        <v>3861</v>
      </c>
      <c r="Y26" s="1">
        <v>8119902396</v>
      </c>
      <c r="Z26" s="11" t="s">
        <v>3862</v>
      </c>
      <c r="AA26" s="1">
        <v>8119902396</v>
      </c>
      <c r="AB26" s="9"/>
      <c r="AC26" s="1"/>
      <c r="AD26" s="1"/>
      <c r="AE26" s="1"/>
      <c r="AF26" s="1"/>
      <c r="AG26" s="1"/>
      <c r="AI26" s="11" t="s">
        <v>3863</v>
      </c>
    </row>
    <row r="27" spans="1:36" x14ac:dyDescent="0.25">
      <c r="A27" s="1" t="s">
        <v>985</v>
      </c>
      <c r="B27" s="1" t="s">
        <v>4049</v>
      </c>
      <c r="C27" s="1" t="s">
        <v>3182</v>
      </c>
      <c r="D27" s="1" t="s">
        <v>4038</v>
      </c>
      <c r="E27" s="1" t="s">
        <v>4039</v>
      </c>
      <c r="F27" s="1" t="s">
        <v>4865</v>
      </c>
      <c r="G27" s="1" t="s">
        <v>4873</v>
      </c>
      <c r="H27" s="1" t="s">
        <v>4869</v>
      </c>
      <c r="I27" s="1" t="s">
        <v>4917</v>
      </c>
      <c r="J27" s="1" t="s">
        <v>4896</v>
      </c>
      <c r="K27" s="1" t="s">
        <v>4911</v>
      </c>
      <c r="L27" s="1" t="s">
        <v>3473</v>
      </c>
      <c r="M27" s="1">
        <v>8180407321</v>
      </c>
      <c r="N27" s="11" t="s">
        <v>4040</v>
      </c>
      <c r="O27" s="1">
        <v>8180407321</v>
      </c>
      <c r="P27" s="9"/>
      <c r="Q27" s="1" t="s">
        <v>4039</v>
      </c>
      <c r="R27" s="1" t="s">
        <v>1482</v>
      </c>
      <c r="S27" s="1">
        <v>8180407321</v>
      </c>
      <c r="T27" s="11" t="s">
        <v>4040</v>
      </c>
      <c r="U27" s="1">
        <v>810407321</v>
      </c>
      <c r="V27" s="9"/>
      <c r="W27" s="1" t="s">
        <v>4041</v>
      </c>
      <c r="X27" s="1" t="s">
        <v>4042</v>
      </c>
      <c r="Y27" s="1">
        <v>8129033315</v>
      </c>
      <c r="Z27" s="11" t="s">
        <v>4043</v>
      </c>
      <c r="AA27" s="1">
        <v>8129033315</v>
      </c>
      <c r="AB27" s="9"/>
      <c r="AC27" s="1" t="s">
        <v>4044</v>
      </c>
      <c r="AD27" s="1" t="s">
        <v>4045</v>
      </c>
      <c r="AE27" s="1">
        <v>8181168186</v>
      </c>
      <c r="AF27" s="11" t="s">
        <v>4046</v>
      </c>
      <c r="AG27" s="1">
        <v>8181168186</v>
      </c>
      <c r="AI27" s="11" t="s">
        <v>4047</v>
      </c>
    </row>
    <row r="28" spans="1:36" x14ac:dyDescent="0.25">
      <c r="A28" s="1" t="s">
        <v>986</v>
      </c>
      <c r="B28" s="1"/>
      <c r="C28" s="1" t="s">
        <v>4057</v>
      </c>
      <c r="D28" s="1" t="s">
        <v>4056</v>
      </c>
      <c r="E28" s="1" t="s">
        <v>4058</v>
      </c>
      <c r="F28" s="1" t="s">
        <v>4863</v>
      </c>
      <c r="G28" s="1" t="s">
        <v>4872</v>
      </c>
      <c r="H28" s="1" t="s">
        <v>4869</v>
      </c>
      <c r="I28" s="1" t="s">
        <v>4933</v>
      </c>
      <c r="J28" s="1" t="s">
        <v>4896</v>
      </c>
      <c r="K28" s="1" t="s">
        <v>4911</v>
      </c>
      <c r="L28" s="1" t="s">
        <v>1482</v>
      </c>
      <c r="M28" s="1">
        <v>8135619465</v>
      </c>
      <c r="N28" s="11" t="s">
        <v>4059</v>
      </c>
      <c r="O28" s="1">
        <v>8135619465</v>
      </c>
      <c r="P28" s="9"/>
      <c r="Q28" s="1" t="s">
        <v>4058</v>
      </c>
      <c r="R28" s="1" t="s">
        <v>1482</v>
      </c>
      <c r="S28" s="1">
        <v>8135619465</v>
      </c>
      <c r="T28" s="11" t="s">
        <v>1696</v>
      </c>
      <c r="U28" s="1">
        <v>8135619465</v>
      </c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1" t="s">
        <v>4060</v>
      </c>
    </row>
    <row r="29" spans="1:36" x14ac:dyDescent="0.25">
      <c r="A29" s="1" t="s">
        <v>987</v>
      </c>
      <c r="B29" s="1"/>
      <c r="C29" s="1" t="s">
        <v>4073</v>
      </c>
      <c r="D29" s="1" t="s">
        <v>4093</v>
      </c>
      <c r="E29" s="1" t="s">
        <v>4094</v>
      </c>
      <c r="F29" s="1" t="s">
        <v>4865</v>
      </c>
      <c r="G29" s="1" t="s">
        <v>4873</v>
      </c>
      <c r="H29" s="1" t="s">
        <v>4869</v>
      </c>
      <c r="I29" s="1" t="s">
        <v>5006</v>
      </c>
      <c r="J29" s="1" t="s">
        <v>4896</v>
      </c>
      <c r="K29" s="1" t="s">
        <v>4911</v>
      </c>
      <c r="L29" s="1" t="s">
        <v>3473</v>
      </c>
      <c r="M29" s="1">
        <v>8181728323</v>
      </c>
      <c r="N29" s="11" t="s">
        <v>4095</v>
      </c>
      <c r="O29" s="1">
        <v>8181728323</v>
      </c>
      <c r="P29" s="9"/>
      <c r="Q29" s="1" t="s">
        <v>4094</v>
      </c>
      <c r="R29" s="1" t="s">
        <v>4096</v>
      </c>
      <c r="S29" s="1">
        <v>8181728323</v>
      </c>
      <c r="T29" s="11" t="s">
        <v>4095</v>
      </c>
      <c r="U29" s="1">
        <v>8181728323</v>
      </c>
      <c r="V29" s="9"/>
      <c r="W29" s="1" t="s">
        <v>4099</v>
      </c>
      <c r="X29" s="1" t="s">
        <v>4097</v>
      </c>
      <c r="Y29" s="1">
        <v>8180516422</v>
      </c>
      <c r="Z29" s="11" t="s">
        <v>4098</v>
      </c>
      <c r="AA29" s="1">
        <v>8180516422</v>
      </c>
      <c r="AB29" s="9"/>
      <c r="AC29" s="1" t="s">
        <v>4100</v>
      </c>
      <c r="AD29" s="1" t="s">
        <v>4101</v>
      </c>
      <c r="AE29" s="1">
        <v>8188653527</v>
      </c>
      <c r="AF29" s="11" t="s">
        <v>4102</v>
      </c>
      <c r="AG29" s="1">
        <v>8188653527</v>
      </c>
      <c r="AI29" s="11" t="s">
        <v>4103</v>
      </c>
    </row>
    <row r="30" spans="1:36" x14ac:dyDescent="0.25">
      <c r="A30" s="1" t="s">
        <v>988</v>
      </c>
      <c r="B30" s="1" t="s">
        <v>4105</v>
      </c>
      <c r="C30" s="1" t="s">
        <v>4073</v>
      </c>
      <c r="D30" s="1" t="s">
        <v>4104</v>
      </c>
      <c r="E30" s="1" t="s">
        <v>4106</v>
      </c>
      <c r="F30" s="1" t="s">
        <v>4867</v>
      </c>
      <c r="G30" s="1" t="s">
        <v>4875</v>
      </c>
      <c r="H30" s="1" t="s">
        <v>4869</v>
      </c>
      <c r="I30" s="1" t="s">
        <v>4925</v>
      </c>
      <c r="J30" s="1" t="s">
        <v>4896</v>
      </c>
      <c r="K30" s="1" t="s">
        <v>4911</v>
      </c>
      <c r="L30" s="1" t="s">
        <v>2954</v>
      </c>
      <c r="M30" s="1" t="s">
        <v>1483</v>
      </c>
      <c r="N30" s="11" t="s">
        <v>4107</v>
      </c>
      <c r="O30" s="1" t="s">
        <v>1483</v>
      </c>
      <c r="P30" s="9"/>
      <c r="Q30" s="1" t="s">
        <v>4106</v>
      </c>
      <c r="R30" s="1" t="s">
        <v>2954</v>
      </c>
      <c r="S30" s="1" t="s">
        <v>1483</v>
      </c>
      <c r="T30" s="11" t="s">
        <v>4107</v>
      </c>
      <c r="U30" s="1" t="s">
        <v>1483</v>
      </c>
      <c r="V30" s="9"/>
      <c r="W30" s="1" t="s">
        <v>4108</v>
      </c>
      <c r="X30" s="1" t="s">
        <v>4109</v>
      </c>
      <c r="Y30" s="1">
        <v>6646706791</v>
      </c>
      <c r="Z30" s="11" t="s">
        <v>4110</v>
      </c>
      <c r="AA30" s="1">
        <v>6646706791</v>
      </c>
      <c r="AB30" s="9"/>
      <c r="AC30" s="1" t="s">
        <v>4111</v>
      </c>
      <c r="AD30" s="1" t="s">
        <v>4112</v>
      </c>
      <c r="AE30" s="1">
        <v>8126646227</v>
      </c>
      <c r="AF30" s="11" t="s">
        <v>4113</v>
      </c>
      <c r="AG30" s="1">
        <v>8126646227</v>
      </c>
      <c r="AI30" s="11" t="s">
        <v>4114</v>
      </c>
    </row>
    <row r="31" spans="1:36" x14ac:dyDescent="0.25">
      <c r="A31" s="1" t="s">
        <v>989</v>
      </c>
      <c r="B31" s="1" t="s">
        <v>4116</v>
      </c>
      <c r="C31" s="1" t="s">
        <v>4073</v>
      </c>
      <c r="D31" s="1" t="s">
        <v>4115</v>
      </c>
      <c r="E31" s="1" t="s">
        <v>4117</v>
      </c>
      <c r="F31" s="1" t="s">
        <v>4865</v>
      </c>
      <c r="G31" s="1" t="s">
        <v>4875</v>
      </c>
      <c r="H31" s="1" t="s">
        <v>4869</v>
      </c>
      <c r="I31" s="1" t="s">
        <v>4955</v>
      </c>
      <c r="J31" s="1" t="s">
        <v>4896</v>
      </c>
      <c r="K31" s="1" t="s">
        <v>4943</v>
      </c>
      <c r="L31" s="1" t="s">
        <v>4118</v>
      </c>
      <c r="M31" s="1">
        <v>8181614582</v>
      </c>
      <c r="N31" s="11" t="s">
        <v>4119</v>
      </c>
      <c r="O31" s="1">
        <v>8181614582</v>
      </c>
      <c r="P31" s="9"/>
      <c r="Q31" s="1" t="s">
        <v>4117</v>
      </c>
      <c r="R31" s="1" t="s">
        <v>4118</v>
      </c>
      <c r="S31" s="1">
        <v>8181614582</v>
      </c>
      <c r="T31" s="11" t="s">
        <v>4119</v>
      </c>
      <c r="U31" s="1">
        <v>8181614582</v>
      </c>
      <c r="V31" s="9"/>
      <c r="W31" s="1" t="s">
        <v>4120</v>
      </c>
      <c r="X31" s="1" t="s">
        <v>4121</v>
      </c>
      <c r="Y31" s="1">
        <v>8118237807</v>
      </c>
      <c r="Z31" s="11" t="s">
        <v>4122</v>
      </c>
      <c r="AA31" s="1">
        <v>8118237807</v>
      </c>
      <c r="AB31" s="9"/>
      <c r="AC31" s="1" t="s">
        <v>4123</v>
      </c>
      <c r="AD31" s="1" t="s">
        <v>4124</v>
      </c>
      <c r="AE31" s="1">
        <v>8114707721</v>
      </c>
      <c r="AF31" s="11" t="s">
        <v>4125</v>
      </c>
      <c r="AG31" s="1">
        <v>8114707721</v>
      </c>
      <c r="AI31" s="11" t="s">
        <v>4126</v>
      </c>
    </row>
    <row r="32" spans="1:36" x14ac:dyDescent="0.25">
      <c r="A32" s="1" t="s">
        <v>990</v>
      </c>
      <c r="B32" s="1"/>
      <c r="C32" s="1" t="s">
        <v>4073</v>
      </c>
      <c r="D32" s="1" t="s">
        <v>4127</v>
      </c>
      <c r="E32" s="1" t="s">
        <v>4128</v>
      </c>
      <c r="F32" s="1" t="s">
        <v>4865</v>
      </c>
      <c r="G32" s="1" t="s">
        <v>4874</v>
      </c>
      <c r="H32" s="1" t="s">
        <v>4869</v>
      </c>
      <c r="I32" s="1" t="s">
        <v>4936</v>
      </c>
      <c r="J32" s="1" t="s">
        <v>4896</v>
      </c>
      <c r="K32" s="1" t="s">
        <v>4911</v>
      </c>
      <c r="L32" s="1" t="s">
        <v>1453</v>
      </c>
      <c r="M32" s="1">
        <v>8122018802</v>
      </c>
      <c r="N32" s="11" t="s">
        <v>4129</v>
      </c>
      <c r="O32" s="1">
        <v>8122018802</v>
      </c>
      <c r="P32" s="9"/>
      <c r="Q32" s="1" t="s">
        <v>4130</v>
      </c>
      <c r="R32" s="1" t="s">
        <v>1453</v>
      </c>
      <c r="S32" s="1">
        <v>8122018802</v>
      </c>
      <c r="T32" s="11" t="s">
        <v>4129</v>
      </c>
      <c r="U32" s="1">
        <v>8122048802</v>
      </c>
      <c r="V32" s="9"/>
      <c r="W32" s="1" t="s">
        <v>4132</v>
      </c>
      <c r="X32" s="1" t="s">
        <v>4133</v>
      </c>
      <c r="Y32" s="1">
        <v>8123517658</v>
      </c>
      <c r="Z32" s="11" t="s">
        <v>4131</v>
      </c>
      <c r="AA32" s="1">
        <v>8123517658</v>
      </c>
      <c r="AB32" s="9"/>
      <c r="AC32" s="1" t="s">
        <v>4134</v>
      </c>
      <c r="AD32" s="1" t="s">
        <v>1511</v>
      </c>
      <c r="AE32" s="1">
        <v>8116310200</v>
      </c>
      <c r="AF32" s="11" t="s">
        <v>4135</v>
      </c>
      <c r="AG32" s="1">
        <v>8116310200</v>
      </c>
      <c r="AI32" s="11" t="s">
        <v>4136</v>
      </c>
    </row>
    <row r="33" spans="1:35" x14ac:dyDescent="0.25">
      <c r="A33" s="1" t="s">
        <v>991</v>
      </c>
      <c r="B33" s="1" t="s">
        <v>4251</v>
      </c>
      <c r="C33" s="1" t="s">
        <v>4192</v>
      </c>
      <c r="D33" s="1" t="s">
        <v>4250</v>
      </c>
      <c r="E33" s="1" t="s">
        <v>4252</v>
      </c>
      <c r="F33" s="1" t="s">
        <v>4867</v>
      </c>
      <c r="G33" s="1" t="s">
        <v>4875</v>
      </c>
      <c r="H33" s="1" t="s">
        <v>4869</v>
      </c>
      <c r="I33" s="1" t="s">
        <v>4925</v>
      </c>
      <c r="J33" s="1" t="s">
        <v>4896</v>
      </c>
      <c r="K33" s="1" t="s">
        <v>4924</v>
      </c>
      <c r="L33" s="1" t="s">
        <v>4253</v>
      </c>
      <c r="M33" s="1">
        <v>5651102701</v>
      </c>
      <c r="N33" s="11" t="s">
        <v>4254</v>
      </c>
      <c r="O33" s="1">
        <v>5651102701</v>
      </c>
      <c r="P33" s="9"/>
      <c r="Q33" s="1" t="s">
        <v>4252</v>
      </c>
      <c r="R33" s="1" t="s">
        <v>4253</v>
      </c>
      <c r="S33" s="1">
        <v>5651102701</v>
      </c>
      <c r="T33" s="11" t="s">
        <v>4254</v>
      </c>
      <c r="U33" s="1">
        <v>5651102701</v>
      </c>
      <c r="V33" s="9"/>
      <c r="W33" s="1" t="s">
        <v>4255</v>
      </c>
      <c r="X33" s="1" t="s">
        <v>4256</v>
      </c>
      <c r="Y33" s="1">
        <v>5512878196</v>
      </c>
      <c r="Z33" s="11" t="s">
        <v>4257</v>
      </c>
      <c r="AA33" s="1">
        <v>5512878496</v>
      </c>
      <c r="AB33" s="9"/>
      <c r="AC33" s="1" t="s">
        <v>4258</v>
      </c>
      <c r="AD33" s="1" t="s">
        <v>4259</v>
      </c>
      <c r="AE33" s="1">
        <v>8183296772</v>
      </c>
      <c r="AF33" s="11" t="s">
        <v>4260</v>
      </c>
      <c r="AG33" s="1">
        <v>8183296772</v>
      </c>
      <c r="AI33" s="11" t="s">
        <v>4261</v>
      </c>
    </row>
    <row r="34" spans="1:35" x14ac:dyDescent="0.25">
      <c r="A34" s="1" t="s">
        <v>992</v>
      </c>
      <c r="B34" s="1"/>
      <c r="C34" s="1" t="s">
        <v>4073</v>
      </c>
      <c r="D34" s="1" t="s">
        <v>4389</v>
      </c>
      <c r="E34" s="1" t="s">
        <v>4390</v>
      </c>
      <c r="F34" s="1" t="s">
        <v>4865</v>
      </c>
      <c r="G34" s="1" t="s">
        <v>4873</v>
      </c>
      <c r="H34" s="1" t="s">
        <v>4869</v>
      </c>
      <c r="I34" s="1" t="s">
        <v>5020</v>
      </c>
      <c r="J34" s="1" t="s">
        <v>4896</v>
      </c>
      <c r="K34" s="1" t="s">
        <v>4911</v>
      </c>
      <c r="L34" s="1" t="s">
        <v>1482</v>
      </c>
      <c r="M34" s="1">
        <v>8180135550</v>
      </c>
      <c r="N34" s="11" t="s">
        <v>4391</v>
      </c>
      <c r="O34" s="1">
        <v>8180135550</v>
      </c>
      <c r="P34" s="9"/>
      <c r="Q34" s="1" t="s">
        <v>4390</v>
      </c>
      <c r="R34" s="1" t="s">
        <v>1482</v>
      </c>
      <c r="S34" s="1">
        <v>8180135550</v>
      </c>
      <c r="T34" s="11" t="s">
        <v>4391</v>
      </c>
      <c r="U34" s="1">
        <v>8180135550</v>
      </c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1" t="s">
        <v>4392</v>
      </c>
    </row>
    <row r="35" spans="1:35" x14ac:dyDescent="0.25">
      <c r="A35" s="1" t="s">
        <v>993</v>
      </c>
      <c r="B35" s="18" t="s">
        <v>4672</v>
      </c>
      <c r="C35" s="1" t="s">
        <v>4490</v>
      </c>
      <c r="D35" s="1" t="s">
        <v>4603</v>
      </c>
      <c r="E35" s="1" t="s">
        <v>4604</v>
      </c>
      <c r="F35" s="1" t="s">
        <v>4867</v>
      </c>
      <c r="G35" s="1" t="s">
        <v>4875</v>
      </c>
      <c r="H35" s="1" t="s">
        <v>4869</v>
      </c>
      <c r="I35" s="1" t="s">
        <v>4920</v>
      </c>
      <c r="J35" s="1" t="s">
        <v>4896</v>
      </c>
      <c r="K35" s="1" t="s">
        <v>4911</v>
      </c>
      <c r="L35" s="1" t="s">
        <v>1574</v>
      </c>
      <c r="M35" s="1" t="s">
        <v>1483</v>
      </c>
      <c r="N35" s="1" t="s">
        <v>1483</v>
      </c>
      <c r="O35" s="1" t="s">
        <v>1483</v>
      </c>
      <c r="P35" s="9"/>
      <c r="Q35" s="1" t="s">
        <v>4605</v>
      </c>
      <c r="R35" s="1" t="s">
        <v>4606</v>
      </c>
      <c r="S35" s="1">
        <v>8182482500</v>
      </c>
      <c r="T35" s="11" t="s">
        <v>4607</v>
      </c>
      <c r="U35" s="1">
        <v>8115866496</v>
      </c>
      <c r="V35" s="9"/>
      <c r="W35" s="1" t="s">
        <v>4608</v>
      </c>
      <c r="X35" s="1" t="s">
        <v>4609</v>
      </c>
      <c r="Y35" s="1">
        <v>8182482500</v>
      </c>
      <c r="Z35" s="11" t="s">
        <v>4607</v>
      </c>
      <c r="AA35" s="1">
        <v>8123243738</v>
      </c>
      <c r="AB35" s="9"/>
      <c r="AC35" s="1" t="s">
        <v>4610</v>
      </c>
      <c r="AD35" s="1" t="s">
        <v>4611</v>
      </c>
      <c r="AE35" s="1">
        <v>8182482500</v>
      </c>
      <c r="AF35" s="11" t="s">
        <v>4607</v>
      </c>
      <c r="AG35" s="1">
        <v>8110441970</v>
      </c>
      <c r="AI35" s="11" t="s">
        <v>4612</v>
      </c>
    </row>
    <row r="36" spans="1:35" x14ac:dyDescent="0.25">
      <c r="A36" s="1" t="s">
        <v>994</v>
      </c>
      <c r="B36" s="18" t="s">
        <v>4673</v>
      </c>
      <c r="C36" s="1" t="s">
        <v>4273</v>
      </c>
      <c r="D36" s="1" t="s">
        <v>4654</v>
      </c>
      <c r="E36" s="1" t="s">
        <v>4655</v>
      </c>
      <c r="F36" s="1" t="s">
        <v>4863</v>
      </c>
      <c r="G36" s="1" t="s">
        <v>4874</v>
      </c>
      <c r="H36" s="1" t="s">
        <v>4871</v>
      </c>
      <c r="I36" s="1" t="s">
        <v>4948</v>
      </c>
      <c r="J36" s="1" t="s">
        <v>4896</v>
      </c>
      <c r="K36" s="1" t="s">
        <v>4911</v>
      </c>
      <c r="L36" s="1" t="s">
        <v>4656</v>
      </c>
      <c r="M36" s="1" t="s">
        <v>4657</v>
      </c>
      <c r="N36" s="11" t="s">
        <v>4658</v>
      </c>
      <c r="O36" s="1">
        <v>8184667971</v>
      </c>
      <c r="P36" s="9"/>
      <c r="Q36" s="1" t="s">
        <v>4655</v>
      </c>
      <c r="R36" s="1" t="s">
        <v>4656</v>
      </c>
      <c r="S36" s="1" t="s">
        <v>4657</v>
      </c>
      <c r="T36" s="11" t="s">
        <v>4658</v>
      </c>
      <c r="U36" s="1">
        <v>8184667971</v>
      </c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1" t="s">
        <v>4659</v>
      </c>
    </row>
    <row r="37" spans="1:35" x14ac:dyDescent="0.25">
      <c r="A37" s="1" t="s">
        <v>995</v>
      </c>
      <c r="B37" s="18" t="s">
        <v>4963</v>
      </c>
      <c r="C37" s="1" t="s">
        <v>4716</v>
      </c>
      <c r="D37" s="1" t="s">
        <v>4810</v>
      </c>
      <c r="E37" s="1" t="s">
        <v>4813</v>
      </c>
      <c r="F37" s="1" t="s">
        <v>4865</v>
      </c>
      <c r="G37" s="1" t="s">
        <v>4873</v>
      </c>
      <c r="H37" s="1" t="s">
        <v>4869</v>
      </c>
      <c r="I37" s="1" t="s">
        <v>4926</v>
      </c>
      <c r="J37" s="1" t="s">
        <v>4896</v>
      </c>
      <c r="K37" s="1" t="s">
        <v>4911</v>
      </c>
      <c r="L37" s="1" t="s">
        <v>4811</v>
      </c>
      <c r="M37" s="1">
        <v>8183665408</v>
      </c>
      <c r="N37" s="11" t="s">
        <v>4812</v>
      </c>
      <c r="O37" s="1">
        <v>8183665408</v>
      </c>
      <c r="P37" s="9"/>
      <c r="Q37" s="1" t="s">
        <v>4813</v>
      </c>
      <c r="R37" s="1" t="s">
        <v>4811</v>
      </c>
      <c r="S37" s="1">
        <v>8183665408</v>
      </c>
      <c r="T37" s="11" t="s">
        <v>4812</v>
      </c>
      <c r="U37" s="1">
        <v>8183665408</v>
      </c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1" t="s">
        <v>4814</v>
      </c>
    </row>
    <row r="38" spans="1:35" x14ac:dyDescent="0.25">
      <c r="A38" s="1" t="s">
        <v>996</v>
      </c>
      <c r="B38" s="18" t="s">
        <v>4964</v>
      </c>
      <c r="C38" s="1" t="s">
        <v>4716</v>
      </c>
      <c r="D38" s="1" t="s">
        <v>4815</v>
      </c>
      <c r="E38" s="1" t="s">
        <v>4816</v>
      </c>
      <c r="F38" s="1" t="s">
        <v>4865</v>
      </c>
      <c r="G38" s="1" t="s">
        <v>4874</v>
      </c>
      <c r="H38" s="1" t="s">
        <v>4869</v>
      </c>
      <c r="I38" s="1" t="s">
        <v>4920</v>
      </c>
      <c r="J38" s="1" t="s">
        <v>4896</v>
      </c>
      <c r="K38" s="1" t="s">
        <v>4924</v>
      </c>
      <c r="L38" s="1" t="s">
        <v>1745</v>
      </c>
      <c r="M38" s="1" t="s">
        <v>4817</v>
      </c>
      <c r="N38" s="11" t="s">
        <v>4818</v>
      </c>
      <c r="O38" s="1">
        <v>8123532470</v>
      </c>
      <c r="P38" s="9"/>
      <c r="Q38" s="1" t="s">
        <v>4816</v>
      </c>
      <c r="R38" s="1" t="s">
        <v>1745</v>
      </c>
      <c r="S38" s="1" t="s">
        <v>4817</v>
      </c>
      <c r="T38" s="11" t="s">
        <v>4818</v>
      </c>
      <c r="U38" s="1">
        <v>8123532470</v>
      </c>
      <c r="V38" s="9"/>
      <c r="W38" s="1" t="s">
        <v>4819</v>
      </c>
      <c r="X38" s="1" t="s">
        <v>4820</v>
      </c>
      <c r="Y38" s="1" t="s">
        <v>4821</v>
      </c>
      <c r="Z38" s="11" t="s">
        <v>4822</v>
      </c>
      <c r="AA38" s="1">
        <v>8661657104</v>
      </c>
      <c r="AB38" s="9"/>
      <c r="AC38" s="1" t="s">
        <v>4823</v>
      </c>
      <c r="AD38" s="1" t="s">
        <v>4824</v>
      </c>
      <c r="AE38" s="1" t="s">
        <v>4825</v>
      </c>
      <c r="AF38" s="11" t="s">
        <v>4826</v>
      </c>
      <c r="AG38" s="1" t="s">
        <v>1398</v>
      </c>
      <c r="AI38" s="11" t="s">
        <v>4827</v>
      </c>
    </row>
    <row r="39" spans="1:35" x14ac:dyDescent="0.25">
      <c r="A39" s="1" t="s">
        <v>997</v>
      </c>
      <c r="B39" s="18" t="s">
        <v>4965</v>
      </c>
      <c r="C39" s="1" t="s">
        <v>4375</v>
      </c>
      <c r="D39" s="1" t="s">
        <v>4828</v>
      </c>
      <c r="E39" s="1" t="s">
        <v>4829</v>
      </c>
      <c r="F39" s="1" t="s">
        <v>4867</v>
      </c>
      <c r="G39" s="1" t="s">
        <v>4875</v>
      </c>
      <c r="H39" s="1" t="s">
        <v>4869</v>
      </c>
      <c r="I39" s="1" t="s">
        <v>4925</v>
      </c>
      <c r="J39" s="1" t="s">
        <v>4896</v>
      </c>
      <c r="K39" s="1" t="s">
        <v>5090</v>
      </c>
      <c r="L39" s="1" t="s">
        <v>4830</v>
      </c>
      <c r="M39" s="1">
        <v>8180391731</v>
      </c>
      <c r="N39" s="11" t="s">
        <v>4831</v>
      </c>
      <c r="O39" s="1">
        <v>8241062354</v>
      </c>
      <c r="P39" s="9"/>
      <c r="Q39" s="1" t="s">
        <v>4829</v>
      </c>
      <c r="R39" s="1" t="s">
        <v>4830</v>
      </c>
      <c r="S39" s="1">
        <v>8180391731</v>
      </c>
      <c r="T39" s="11" t="s">
        <v>4831</v>
      </c>
      <c r="U39" s="1">
        <v>8241062354</v>
      </c>
      <c r="V39" s="9"/>
      <c r="W39" s="1" t="s">
        <v>4832</v>
      </c>
      <c r="X39" s="1" t="s">
        <v>4833</v>
      </c>
      <c r="Y39" s="1">
        <v>8241002087</v>
      </c>
      <c r="Z39" s="11" t="s">
        <v>4834</v>
      </c>
      <c r="AA39" s="1" t="s">
        <v>1398</v>
      </c>
      <c r="AB39" s="9"/>
      <c r="AC39" s="1"/>
      <c r="AD39" s="1"/>
      <c r="AE39" s="1"/>
      <c r="AF39" s="1"/>
      <c r="AG39" s="1"/>
      <c r="AI39" s="11" t="s">
        <v>4835</v>
      </c>
    </row>
    <row r="40" spans="1:35" x14ac:dyDescent="0.25">
      <c r="A40" s="1" t="s">
        <v>998</v>
      </c>
      <c r="B40" s="18" t="s">
        <v>4966</v>
      </c>
      <c r="C40" s="1" t="s">
        <v>4375</v>
      </c>
      <c r="D40" s="1" t="s">
        <v>4836</v>
      </c>
      <c r="E40" s="1" t="s">
        <v>4837</v>
      </c>
      <c r="F40" s="1" t="s">
        <v>4865</v>
      </c>
      <c r="G40" s="1" t="s">
        <v>5101</v>
      </c>
      <c r="H40" s="1" t="s">
        <v>4869</v>
      </c>
      <c r="I40" s="1" t="s">
        <v>5010</v>
      </c>
      <c r="J40" s="1" t="s">
        <v>4896</v>
      </c>
      <c r="K40" s="1" t="s">
        <v>4911</v>
      </c>
      <c r="L40" s="1" t="s">
        <v>4838</v>
      </c>
      <c r="M40" s="1">
        <v>8117881492</v>
      </c>
      <c r="N40" s="11" t="s">
        <v>4839</v>
      </c>
      <c r="O40" s="1">
        <v>8117881492</v>
      </c>
      <c r="P40" s="9"/>
      <c r="Q40" s="1" t="s">
        <v>4837</v>
      </c>
      <c r="R40" s="1" t="s">
        <v>4838</v>
      </c>
      <c r="S40" s="1">
        <v>8117881492</v>
      </c>
      <c r="T40" s="11" t="s">
        <v>4839</v>
      </c>
      <c r="U40" s="1">
        <v>8117881492</v>
      </c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1" t="s">
        <v>4840</v>
      </c>
    </row>
    <row r="41" spans="1:35" x14ac:dyDescent="0.25">
      <c r="A41" s="1" t="s">
        <v>999</v>
      </c>
      <c r="B41" s="18" t="s">
        <v>4026</v>
      </c>
      <c r="C41" s="1" t="s">
        <v>4716</v>
      </c>
      <c r="D41" s="1" t="s">
        <v>4958</v>
      </c>
      <c r="E41" s="1" t="s">
        <v>4980</v>
      </c>
      <c r="F41" s="1" t="s">
        <v>4865</v>
      </c>
      <c r="G41" s="1" t="s">
        <v>4874</v>
      </c>
      <c r="H41" s="1" t="s">
        <v>4869</v>
      </c>
      <c r="I41" s="1" t="s">
        <v>4954</v>
      </c>
      <c r="J41" s="1" t="s">
        <v>4896</v>
      </c>
      <c r="K41" s="1" t="s">
        <v>4911</v>
      </c>
      <c r="L41" s="1" t="s">
        <v>4981</v>
      </c>
      <c r="M41" s="1">
        <v>8127724674</v>
      </c>
      <c r="N41" s="11" t="s">
        <v>4982</v>
      </c>
      <c r="O41" s="1">
        <v>8127724674</v>
      </c>
      <c r="P41" s="9"/>
      <c r="Q41" s="1" t="s">
        <v>4980</v>
      </c>
      <c r="R41" s="1" t="s">
        <v>4981</v>
      </c>
      <c r="S41" s="1">
        <v>8127724674</v>
      </c>
      <c r="T41" s="11" t="s">
        <v>4982</v>
      </c>
      <c r="U41" s="1">
        <v>8127724674</v>
      </c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1" t="s">
        <v>4983</v>
      </c>
    </row>
    <row r="42" spans="1:35" x14ac:dyDescent="0.25">
      <c r="A42" s="1" t="s">
        <v>1000</v>
      </c>
      <c r="B42" s="1"/>
      <c r="C42" s="1" t="s">
        <v>4375</v>
      </c>
      <c r="D42" s="1" t="s">
        <v>5034</v>
      </c>
      <c r="E42" s="1" t="s">
        <v>5035</v>
      </c>
      <c r="F42" s="1" t="s">
        <v>4865</v>
      </c>
      <c r="G42" s="1" t="s">
        <v>4874</v>
      </c>
      <c r="H42" s="1" t="s">
        <v>4869</v>
      </c>
      <c r="I42" s="1" t="s">
        <v>5020</v>
      </c>
      <c r="J42" s="1" t="s">
        <v>4896</v>
      </c>
      <c r="K42" s="1" t="s">
        <v>4924</v>
      </c>
      <c r="L42" s="1" t="s">
        <v>1482</v>
      </c>
      <c r="M42" s="36" t="s">
        <v>5036</v>
      </c>
      <c r="N42" s="11" t="s">
        <v>5037</v>
      </c>
      <c r="O42" s="36" t="s">
        <v>5036</v>
      </c>
      <c r="P42" s="9"/>
      <c r="Q42" s="1" t="s">
        <v>5035</v>
      </c>
      <c r="R42" s="1" t="s">
        <v>1482</v>
      </c>
      <c r="S42" s="36" t="s">
        <v>5036</v>
      </c>
      <c r="T42" s="11" t="s">
        <v>5037</v>
      </c>
      <c r="U42" s="36" t="s">
        <v>5036</v>
      </c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1" t="s">
        <v>5038</v>
      </c>
    </row>
    <row r="43" spans="1:35" x14ac:dyDescent="0.25">
      <c r="A43" s="1" t="s">
        <v>1001</v>
      </c>
      <c r="B43" s="18" t="s">
        <v>5046</v>
      </c>
      <c r="C43" s="1" t="s">
        <v>4073</v>
      </c>
      <c r="D43" s="1" t="s">
        <v>5045</v>
      </c>
      <c r="E43" s="1" t="s">
        <v>5047</v>
      </c>
      <c r="F43" s="1" t="s">
        <v>4865</v>
      </c>
      <c r="G43" s="1" t="s">
        <v>4874</v>
      </c>
      <c r="H43" s="1" t="s">
        <v>4869</v>
      </c>
      <c r="I43" s="1" t="s">
        <v>4953</v>
      </c>
      <c r="J43" s="1" t="s">
        <v>4896</v>
      </c>
      <c r="K43" s="1" t="s">
        <v>4924</v>
      </c>
      <c r="L43" s="1" t="s">
        <v>5048</v>
      </c>
      <c r="M43" s="1" t="s">
        <v>5049</v>
      </c>
      <c r="N43" s="11" t="s">
        <v>5050</v>
      </c>
      <c r="O43" s="1">
        <v>8117999197</v>
      </c>
      <c r="P43" s="9"/>
      <c r="Q43" s="1" t="s">
        <v>5051</v>
      </c>
      <c r="R43" s="1" t="s">
        <v>5052</v>
      </c>
      <c r="S43" s="1">
        <v>5544435455</v>
      </c>
      <c r="T43" s="11" t="s">
        <v>5053</v>
      </c>
      <c r="U43" s="1">
        <v>5544435455</v>
      </c>
      <c r="V43" s="9"/>
      <c r="W43" s="1" t="s">
        <v>5047</v>
      </c>
      <c r="X43" s="1" t="s">
        <v>5048</v>
      </c>
      <c r="Y43" s="1" t="s">
        <v>5049</v>
      </c>
      <c r="Z43" s="11" t="s">
        <v>5050</v>
      </c>
      <c r="AA43" s="1">
        <v>8117999197</v>
      </c>
      <c r="AB43" s="9"/>
      <c r="AC43" s="1"/>
      <c r="AD43" s="1"/>
      <c r="AE43" s="1"/>
      <c r="AF43" s="1"/>
      <c r="AG43" s="1"/>
      <c r="AI43" s="11" t="s">
        <v>5054</v>
      </c>
    </row>
    <row r="44" spans="1:35" x14ac:dyDescent="0.25">
      <c r="A44" s="1" t="s">
        <v>1002</v>
      </c>
      <c r="B44" s="18" t="s">
        <v>5167</v>
      </c>
      <c r="C44" s="1" t="s">
        <v>5161</v>
      </c>
      <c r="D44" s="1" t="s">
        <v>5166</v>
      </c>
      <c r="E44" s="1" t="s">
        <v>5168</v>
      </c>
      <c r="F44" s="1" t="s">
        <v>4866</v>
      </c>
      <c r="G44" s="1" t="s">
        <v>4874</v>
      </c>
      <c r="H44" s="1" t="s">
        <v>4869</v>
      </c>
      <c r="I44" s="1" t="s">
        <v>5260</v>
      </c>
      <c r="J44" s="1"/>
      <c r="K44" s="1"/>
      <c r="L44" s="1" t="s">
        <v>1745</v>
      </c>
      <c r="M44" s="1" t="s">
        <v>5169</v>
      </c>
      <c r="N44" s="11" t="s">
        <v>5170</v>
      </c>
      <c r="O44" s="1">
        <v>8117991791</v>
      </c>
      <c r="P44" s="9"/>
      <c r="Q44" s="1" t="s">
        <v>5168</v>
      </c>
      <c r="R44" s="1" t="s">
        <v>1745</v>
      </c>
      <c r="S44" s="1" t="s">
        <v>5169</v>
      </c>
      <c r="T44" s="11" t="s">
        <v>5170</v>
      </c>
      <c r="U44" s="1">
        <v>8117991791</v>
      </c>
      <c r="V44" s="9"/>
      <c r="W44" s="1" t="s">
        <v>5171</v>
      </c>
      <c r="X44" s="1" t="s">
        <v>5172</v>
      </c>
      <c r="Y44" s="1" t="s">
        <v>5173</v>
      </c>
      <c r="Z44" s="11" t="s">
        <v>5174</v>
      </c>
      <c r="AA44" s="1">
        <v>8115390186</v>
      </c>
      <c r="AB44" s="9"/>
      <c r="AC44" s="1"/>
      <c r="AD44" s="1"/>
      <c r="AE44" s="1"/>
      <c r="AF44" s="1"/>
      <c r="AG44" s="1"/>
      <c r="AI44" s="11" t="s">
        <v>5175</v>
      </c>
    </row>
    <row r="45" spans="1:35" x14ac:dyDescent="0.25">
      <c r="A45" s="1" t="s">
        <v>1003</v>
      </c>
      <c r="B45" s="18" t="s">
        <v>5274</v>
      </c>
      <c r="C45" s="1" t="s">
        <v>5180</v>
      </c>
      <c r="D45" s="1" t="s">
        <v>5181</v>
      </c>
      <c r="E45" s="1" t="s">
        <v>5182</v>
      </c>
      <c r="F45" s="1" t="s">
        <v>4865</v>
      </c>
      <c r="G45" s="1" t="s">
        <v>4875</v>
      </c>
      <c r="H45" s="1" t="s">
        <v>4869</v>
      </c>
      <c r="I45" s="1" t="s">
        <v>5261</v>
      </c>
      <c r="J45" s="1"/>
      <c r="K45" s="1"/>
      <c r="L45" s="1" t="s">
        <v>3473</v>
      </c>
      <c r="M45" s="1" t="s">
        <v>1398</v>
      </c>
      <c r="N45" s="1" t="s">
        <v>1398</v>
      </c>
      <c r="O45" s="1" t="s">
        <v>1398</v>
      </c>
      <c r="P45" s="9"/>
      <c r="Q45" s="1" t="s">
        <v>5183</v>
      </c>
      <c r="R45" s="1" t="s">
        <v>5184</v>
      </c>
      <c r="S45" s="1">
        <v>8183183800</v>
      </c>
      <c r="T45" s="11" t="s">
        <v>5185</v>
      </c>
      <c r="U45" s="1">
        <v>8113475727</v>
      </c>
      <c r="V45" s="9"/>
      <c r="W45" s="1" t="s">
        <v>5186</v>
      </c>
      <c r="X45" s="1" t="s">
        <v>5187</v>
      </c>
      <c r="Y45" s="1">
        <v>8183183800</v>
      </c>
      <c r="Z45" s="11" t="s">
        <v>5188</v>
      </c>
      <c r="AA45" s="1">
        <v>8119227260</v>
      </c>
      <c r="AB45" s="9"/>
      <c r="AC45" s="1"/>
      <c r="AD45" s="1"/>
      <c r="AE45" s="1"/>
      <c r="AF45" s="1"/>
      <c r="AG45" s="1"/>
      <c r="AI45" s="11" t="s">
        <v>5189</v>
      </c>
    </row>
    <row r="46" spans="1:35" x14ac:dyDescent="0.25">
      <c r="A46" s="1" t="s">
        <v>1004</v>
      </c>
      <c r="B46" s="18" t="s">
        <v>5273</v>
      </c>
      <c r="C46" s="1" t="s">
        <v>5180</v>
      </c>
      <c r="D46" s="1" t="s">
        <v>5229</v>
      </c>
      <c r="E46" s="1" t="s">
        <v>5230</v>
      </c>
      <c r="F46" s="1" t="s">
        <v>4866</v>
      </c>
      <c r="G46" s="1" t="s">
        <v>4873</v>
      </c>
      <c r="H46" s="1" t="s">
        <v>4869</v>
      </c>
      <c r="I46" s="1" t="s">
        <v>5259</v>
      </c>
      <c r="J46" s="1"/>
      <c r="K46" s="1"/>
      <c r="L46" s="1" t="s">
        <v>1661</v>
      </c>
      <c r="M46" s="1">
        <v>8115314052</v>
      </c>
      <c r="N46" s="11" t="s">
        <v>5231</v>
      </c>
      <c r="O46" s="1">
        <v>8115314052</v>
      </c>
      <c r="P46" s="9"/>
      <c r="Q46" s="1" t="s">
        <v>5230</v>
      </c>
      <c r="R46" s="1" t="s">
        <v>1661</v>
      </c>
      <c r="S46" s="1">
        <v>8115314052</v>
      </c>
      <c r="T46" s="11" t="s">
        <v>5231</v>
      </c>
      <c r="U46" s="1">
        <v>8115314052</v>
      </c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1" t="s">
        <v>5232</v>
      </c>
    </row>
    <row r="47" spans="1:35" x14ac:dyDescent="0.25">
      <c r="A47" s="1" t="s">
        <v>1005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1006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1007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1008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1009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SUBTOTAL(103,Tabla24[ARCHIVO])</f>
        <v>45</v>
      </c>
    </row>
  </sheetData>
  <hyperlinks>
    <hyperlink ref="T2" r:id="rId1" xr:uid="{00000000-0004-0000-1400-000000000000}"/>
    <hyperlink ref="Z2" r:id="rId2" xr:uid="{00000000-0004-0000-1400-000001000000}"/>
    <hyperlink ref="AI2" r:id="rId3" xr:uid="{00000000-0004-0000-1400-000002000000}"/>
    <hyperlink ref="T3" r:id="rId4" xr:uid="{00000000-0004-0000-1400-000003000000}"/>
    <hyperlink ref="X3" r:id="rId5" display="ana.ramirez@grupogaleria.com" xr:uid="{00000000-0004-0000-1400-000004000000}"/>
    <hyperlink ref="Z3" r:id="rId6" xr:uid="{00000000-0004-0000-1400-000005000000}"/>
    <hyperlink ref="AI3" r:id="rId7" xr:uid="{00000000-0004-0000-1400-000006000000}"/>
    <hyperlink ref="T4" r:id="rId8" xr:uid="{00000000-0004-0000-1400-000007000000}"/>
    <hyperlink ref="AI4" r:id="rId9" xr:uid="{00000000-0004-0000-1400-000008000000}"/>
    <hyperlink ref="N5" r:id="rId10" xr:uid="{00000000-0004-0000-1400-000009000000}"/>
    <hyperlink ref="T5" r:id="rId11" xr:uid="{00000000-0004-0000-1400-00000A000000}"/>
    <hyperlink ref="Z5" r:id="rId12" xr:uid="{00000000-0004-0000-1400-00000B000000}"/>
    <hyperlink ref="AF5" r:id="rId13" xr:uid="{00000000-0004-0000-1400-00000C000000}"/>
    <hyperlink ref="AI5" r:id="rId14" xr:uid="{00000000-0004-0000-1400-00000D000000}"/>
    <hyperlink ref="N6" r:id="rId15" xr:uid="{00000000-0004-0000-1400-00000E000000}"/>
    <hyperlink ref="AI6" r:id="rId16" xr:uid="{00000000-0004-0000-1400-00000F000000}"/>
    <hyperlink ref="N7" r:id="rId17" xr:uid="{00000000-0004-0000-1400-000010000000}"/>
    <hyperlink ref="N8" r:id="rId18" xr:uid="{00000000-0004-0000-1400-000011000000}"/>
    <hyperlink ref="AI8" r:id="rId19" xr:uid="{00000000-0004-0000-1400-000012000000}"/>
    <hyperlink ref="AI7" r:id="rId20" xr:uid="{00000000-0004-0000-1400-000013000000}"/>
    <hyperlink ref="T9" r:id="rId21" xr:uid="{00000000-0004-0000-1400-000014000000}"/>
    <hyperlink ref="Z9" r:id="rId22" xr:uid="{00000000-0004-0000-1400-000015000000}"/>
    <hyperlink ref="AF9" r:id="rId23" xr:uid="{00000000-0004-0000-1400-000016000000}"/>
    <hyperlink ref="AI9" r:id="rId24" xr:uid="{00000000-0004-0000-1400-000017000000}"/>
    <hyperlink ref="T10" r:id="rId25" xr:uid="{00000000-0004-0000-1400-000018000000}"/>
    <hyperlink ref="AI10" r:id="rId26" xr:uid="{00000000-0004-0000-1400-000019000000}"/>
    <hyperlink ref="N11" r:id="rId27" xr:uid="{00000000-0004-0000-1400-00001A000000}"/>
    <hyperlink ref="AI11" r:id="rId28" xr:uid="{00000000-0004-0000-1400-00001B000000}"/>
    <hyperlink ref="N12" r:id="rId29" xr:uid="{00000000-0004-0000-1400-00001C000000}"/>
    <hyperlink ref="T12" r:id="rId30" xr:uid="{00000000-0004-0000-1400-00001D000000}"/>
    <hyperlink ref="AI12" r:id="rId31" xr:uid="{00000000-0004-0000-1400-00001E000000}"/>
    <hyperlink ref="N13" r:id="rId32" xr:uid="{00000000-0004-0000-1400-00001F000000}"/>
    <hyperlink ref="T13" r:id="rId33" xr:uid="{00000000-0004-0000-1400-000020000000}"/>
    <hyperlink ref="Z13" r:id="rId34" xr:uid="{00000000-0004-0000-1400-000021000000}"/>
    <hyperlink ref="AI13" r:id="rId35" xr:uid="{00000000-0004-0000-1400-000022000000}"/>
    <hyperlink ref="N14" r:id="rId36" xr:uid="{00000000-0004-0000-1400-000023000000}"/>
    <hyperlink ref="T14" r:id="rId37" xr:uid="{00000000-0004-0000-1400-000024000000}"/>
    <hyperlink ref="Z14" r:id="rId38" xr:uid="{00000000-0004-0000-1400-000025000000}"/>
    <hyperlink ref="N15" r:id="rId39" xr:uid="{00000000-0004-0000-1400-000026000000}"/>
    <hyperlink ref="T15" r:id="rId40" xr:uid="{00000000-0004-0000-1400-000027000000}"/>
    <hyperlink ref="N16" r:id="rId41" xr:uid="{00000000-0004-0000-1400-000028000000}"/>
    <hyperlink ref="T16" r:id="rId42" xr:uid="{00000000-0004-0000-1400-000029000000}"/>
    <hyperlink ref="Z16" r:id="rId43" xr:uid="{00000000-0004-0000-1400-00002A000000}"/>
    <hyperlink ref="AF16" r:id="rId44" xr:uid="{00000000-0004-0000-1400-00002B000000}"/>
    <hyperlink ref="T17" r:id="rId45" xr:uid="{00000000-0004-0000-1400-00002C000000}"/>
    <hyperlink ref="Z17" r:id="rId46" xr:uid="{00000000-0004-0000-1400-00002D000000}"/>
    <hyperlink ref="AF17" r:id="rId47" xr:uid="{00000000-0004-0000-1400-00002E000000}"/>
    <hyperlink ref="N18" r:id="rId48" xr:uid="{00000000-0004-0000-1400-00002F000000}"/>
    <hyperlink ref="T18" r:id="rId49" xr:uid="{00000000-0004-0000-1400-000030000000}"/>
    <hyperlink ref="Z18" r:id="rId50" xr:uid="{00000000-0004-0000-1400-000031000000}"/>
    <hyperlink ref="N19" r:id="rId51" xr:uid="{00000000-0004-0000-1400-000032000000}"/>
    <hyperlink ref="Z19" r:id="rId52" xr:uid="{00000000-0004-0000-1400-000033000000}"/>
    <hyperlink ref="T19" r:id="rId53" xr:uid="{00000000-0004-0000-1400-000034000000}"/>
    <hyperlink ref="N20" r:id="rId54" xr:uid="{00000000-0004-0000-1400-000035000000}"/>
    <hyperlink ref="T20" r:id="rId55" xr:uid="{00000000-0004-0000-1400-000036000000}"/>
    <hyperlink ref="Z20" r:id="rId56" xr:uid="{00000000-0004-0000-1400-000037000000}"/>
    <hyperlink ref="N21" r:id="rId57" xr:uid="{00000000-0004-0000-1400-000038000000}"/>
    <hyperlink ref="T21" r:id="rId58" xr:uid="{00000000-0004-0000-1400-000039000000}"/>
    <hyperlink ref="T22" r:id="rId59" xr:uid="{00000000-0004-0000-1400-00003A000000}"/>
    <hyperlink ref="AI22" r:id="rId60" xr:uid="{00000000-0004-0000-1400-00003B000000}"/>
    <hyperlink ref="N23" r:id="rId61" xr:uid="{00000000-0004-0000-1400-00003C000000}"/>
    <hyperlink ref="T23" r:id="rId62" xr:uid="{00000000-0004-0000-1400-00003D000000}"/>
    <hyperlink ref="AI23" r:id="rId63" xr:uid="{00000000-0004-0000-1400-00003E000000}"/>
    <hyperlink ref="N24" r:id="rId64" xr:uid="{00000000-0004-0000-1400-00003F000000}"/>
    <hyperlink ref="T24" r:id="rId65" xr:uid="{00000000-0004-0000-1400-000040000000}"/>
    <hyperlink ref="Z24" r:id="rId66" xr:uid="{00000000-0004-0000-1400-000041000000}"/>
    <hyperlink ref="AI24" r:id="rId67" xr:uid="{00000000-0004-0000-1400-000042000000}"/>
    <hyperlink ref="AI14" r:id="rId68" xr:uid="{00000000-0004-0000-1400-000043000000}"/>
    <hyperlink ref="AI15" r:id="rId69" xr:uid="{00000000-0004-0000-1400-000044000000}"/>
    <hyperlink ref="AI16" r:id="rId70" xr:uid="{00000000-0004-0000-1400-000045000000}"/>
    <hyperlink ref="AI17" r:id="rId71" xr:uid="{00000000-0004-0000-1400-000046000000}"/>
    <hyperlink ref="AI18" r:id="rId72" xr:uid="{00000000-0004-0000-1400-000047000000}"/>
    <hyperlink ref="AI19" r:id="rId73" xr:uid="{00000000-0004-0000-1400-000048000000}"/>
    <hyperlink ref="AI20" r:id="rId74" xr:uid="{00000000-0004-0000-1400-000049000000}"/>
    <hyperlink ref="AI21" r:id="rId75" xr:uid="{00000000-0004-0000-1400-00004A000000}"/>
    <hyperlink ref="N25" r:id="rId76" xr:uid="{00000000-0004-0000-1400-00004B000000}"/>
    <hyperlink ref="T25" r:id="rId77" xr:uid="{00000000-0004-0000-1400-00004C000000}"/>
    <hyperlink ref="AI25" r:id="rId78" xr:uid="{00000000-0004-0000-1400-00004D000000}"/>
    <hyperlink ref="N26" r:id="rId79" xr:uid="{00000000-0004-0000-1400-00004E000000}"/>
    <hyperlink ref="T26" r:id="rId80" xr:uid="{00000000-0004-0000-1400-00004F000000}"/>
    <hyperlink ref="Z26" r:id="rId81" xr:uid="{00000000-0004-0000-1400-000050000000}"/>
    <hyperlink ref="AI26" r:id="rId82" xr:uid="{00000000-0004-0000-1400-000051000000}"/>
    <hyperlink ref="T6" r:id="rId83" xr:uid="{00000000-0004-0000-1400-000052000000}"/>
    <hyperlink ref="T8" r:id="rId84" xr:uid="{00000000-0004-0000-1400-000053000000}"/>
    <hyperlink ref="T11" r:id="rId85" xr:uid="{00000000-0004-0000-1400-000054000000}"/>
    <hyperlink ref="N27" r:id="rId86" xr:uid="{00000000-0004-0000-1400-000055000000}"/>
    <hyperlink ref="T27" r:id="rId87" xr:uid="{00000000-0004-0000-1400-000056000000}"/>
    <hyperlink ref="Z27" r:id="rId88" xr:uid="{00000000-0004-0000-1400-000057000000}"/>
    <hyperlink ref="AF27" r:id="rId89" xr:uid="{00000000-0004-0000-1400-000058000000}"/>
    <hyperlink ref="AI27" r:id="rId90" xr:uid="{00000000-0004-0000-1400-000059000000}"/>
    <hyperlink ref="N28" r:id="rId91" xr:uid="{00000000-0004-0000-1400-00005A000000}"/>
    <hyperlink ref="T28" r:id="rId92" xr:uid="{00000000-0004-0000-1400-00005B000000}"/>
    <hyperlink ref="AI28" r:id="rId93" xr:uid="{00000000-0004-0000-1400-00005C000000}"/>
    <hyperlink ref="N29" r:id="rId94" xr:uid="{00000000-0004-0000-1400-00005D000000}"/>
    <hyperlink ref="T29" r:id="rId95" xr:uid="{00000000-0004-0000-1400-00005E000000}"/>
    <hyperlink ref="Z29" r:id="rId96" xr:uid="{00000000-0004-0000-1400-00005F000000}"/>
    <hyperlink ref="AF29" r:id="rId97" xr:uid="{00000000-0004-0000-1400-000060000000}"/>
    <hyperlink ref="AI29" r:id="rId98" xr:uid="{00000000-0004-0000-1400-000061000000}"/>
    <hyperlink ref="N30" r:id="rId99" xr:uid="{00000000-0004-0000-1400-000062000000}"/>
    <hyperlink ref="T30" r:id="rId100" xr:uid="{00000000-0004-0000-1400-000063000000}"/>
    <hyperlink ref="Z30" r:id="rId101" xr:uid="{00000000-0004-0000-1400-000064000000}"/>
    <hyperlink ref="AF30" r:id="rId102" xr:uid="{00000000-0004-0000-1400-000065000000}"/>
    <hyperlink ref="AI30" r:id="rId103" xr:uid="{00000000-0004-0000-1400-000066000000}"/>
    <hyperlink ref="N31" r:id="rId104" xr:uid="{00000000-0004-0000-1400-000067000000}"/>
    <hyperlink ref="T31" r:id="rId105" xr:uid="{00000000-0004-0000-1400-000068000000}"/>
    <hyperlink ref="Z31" r:id="rId106" xr:uid="{00000000-0004-0000-1400-000069000000}"/>
    <hyperlink ref="AF31" r:id="rId107" xr:uid="{00000000-0004-0000-1400-00006A000000}"/>
    <hyperlink ref="AI31" r:id="rId108" xr:uid="{00000000-0004-0000-1400-00006B000000}"/>
    <hyperlink ref="N32" r:id="rId109" xr:uid="{00000000-0004-0000-1400-00006C000000}"/>
    <hyperlink ref="Z32" r:id="rId110" xr:uid="{00000000-0004-0000-1400-00006D000000}"/>
    <hyperlink ref="T32" r:id="rId111" xr:uid="{00000000-0004-0000-1400-00006E000000}"/>
    <hyperlink ref="AF32" r:id="rId112" xr:uid="{00000000-0004-0000-1400-00006F000000}"/>
    <hyperlink ref="AI32" r:id="rId113" xr:uid="{00000000-0004-0000-1400-000070000000}"/>
    <hyperlink ref="N33" r:id="rId114" xr:uid="{00000000-0004-0000-1400-000071000000}"/>
    <hyperlink ref="T33" r:id="rId115" xr:uid="{00000000-0004-0000-1400-000072000000}"/>
    <hyperlink ref="Z33" r:id="rId116" xr:uid="{00000000-0004-0000-1400-000073000000}"/>
    <hyperlink ref="AF33" r:id="rId117" xr:uid="{00000000-0004-0000-1400-000074000000}"/>
    <hyperlink ref="AI33" r:id="rId118" xr:uid="{00000000-0004-0000-1400-000075000000}"/>
    <hyperlink ref="N34" r:id="rId119" xr:uid="{00000000-0004-0000-1400-000076000000}"/>
    <hyperlink ref="T34" r:id="rId120" xr:uid="{00000000-0004-0000-1400-000077000000}"/>
    <hyperlink ref="AI34" r:id="rId121" xr:uid="{00000000-0004-0000-1400-000078000000}"/>
    <hyperlink ref="T35" r:id="rId122" xr:uid="{00000000-0004-0000-1400-000079000000}"/>
    <hyperlink ref="Z35" r:id="rId123" xr:uid="{00000000-0004-0000-1400-00007A000000}"/>
    <hyperlink ref="AF35" r:id="rId124" xr:uid="{00000000-0004-0000-1400-00007B000000}"/>
    <hyperlink ref="AI35" r:id="rId125" xr:uid="{00000000-0004-0000-1400-00007C000000}"/>
    <hyperlink ref="N36" r:id="rId126" xr:uid="{00000000-0004-0000-1400-00007D000000}"/>
    <hyperlink ref="AI36" r:id="rId127" xr:uid="{00000000-0004-0000-1400-00007E000000}"/>
    <hyperlink ref="N37" r:id="rId128" xr:uid="{00000000-0004-0000-1400-00007F000000}"/>
    <hyperlink ref="T37" r:id="rId129" xr:uid="{00000000-0004-0000-1400-000080000000}"/>
    <hyperlink ref="T36" r:id="rId130" xr:uid="{00000000-0004-0000-1400-000081000000}"/>
    <hyperlink ref="AI37" r:id="rId131" xr:uid="{00000000-0004-0000-1400-000082000000}"/>
    <hyperlink ref="N38" r:id="rId132" xr:uid="{00000000-0004-0000-1400-000083000000}"/>
    <hyperlink ref="T38" r:id="rId133" xr:uid="{00000000-0004-0000-1400-000084000000}"/>
    <hyperlink ref="Z38" r:id="rId134" xr:uid="{00000000-0004-0000-1400-000085000000}"/>
    <hyperlink ref="AF38" r:id="rId135" xr:uid="{00000000-0004-0000-1400-000086000000}"/>
    <hyperlink ref="AI38" r:id="rId136" xr:uid="{00000000-0004-0000-1400-000087000000}"/>
    <hyperlink ref="N39" r:id="rId137" xr:uid="{00000000-0004-0000-1400-000088000000}"/>
    <hyperlink ref="Z39" r:id="rId138" xr:uid="{00000000-0004-0000-1400-000089000000}"/>
    <hyperlink ref="T39" r:id="rId139" xr:uid="{00000000-0004-0000-1400-00008A000000}"/>
    <hyperlink ref="AI39" r:id="rId140" xr:uid="{00000000-0004-0000-1400-00008B000000}"/>
    <hyperlink ref="N40" r:id="rId141" xr:uid="{00000000-0004-0000-1400-00008C000000}"/>
    <hyperlink ref="T40" r:id="rId142" xr:uid="{00000000-0004-0000-1400-00008D000000}"/>
    <hyperlink ref="AI40" r:id="rId143" xr:uid="{00000000-0004-0000-1400-00008E000000}"/>
    <hyperlink ref="N41" r:id="rId144" xr:uid="{00000000-0004-0000-1400-00008F000000}"/>
    <hyperlink ref="T41" r:id="rId145" xr:uid="{00000000-0004-0000-1400-000090000000}"/>
    <hyperlink ref="AI41" r:id="rId146" xr:uid="{00000000-0004-0000-1400-000091000000}"/>
    <hyperlink ref="N42" r:id="rId147" xr:uid="{00000000-0004-0000-1400-000092000000}"/>
    <hyperlink ref="T42" r:id="rId148" xr:uid="{00000000-0004-0000-1400-000093000000}"/>
    <hyperlink ref="AI42" r:id="rId149" xr:uid="{00000000-0004-0000-1400-000094000000}"/>
    <hyperlink ref="N43" r:id="rId150" xr:uid="{00000000-0004-0000-1400-000095000000}"/>
    <hyperlink ref="T43" r:id="rId151" xr:uid="{00000000-0004-0000-1400-000096000000}"/>
    <hyperlink ref="Z43" r:id="rId152" xr:uid="{00000000-0004-0000-1400-000097000000}"/>
    <hyperlink ref="AI43" r:id="rId153" xr:uid="{00000000-0004-0000-1400-000098000000}"/>
    <hyperlink ref="N44" r:id="rId154" xr:uid="{00000000-0004-0000-1400-000099000000}"/>
    <hyperlink ref="T44" r:id="rId155" xr:uid="{00000000-0004-0000-1400-00009A000000}"/>
    <hyperlink ref="Z44" r:id="rId156" xr:uid="{00000000-0004-0000-1400-00009B000000}"/>
    <hyperlink ref="AI44" r:id="rId157" xr:uid="{00000000-0004-0000-1400-00009C000000}"/>
    <hyperlink ref="T45" r:id="rId158" xr:uid="{00000000-0004-0000-1400-00009D000000}"/>
    <hyperlink ref="Z45" r:id="rId159" xr:uid="{00000000-0004-0000-1400-00009E000000}"/>
    <hyperlink ref="AI45" r:id="rId160" xr:uid="{00000000-0004-0000-1400-00009F000000}"/>
    <hyperlink ref="N46" r:id="rId161" xr:uid="{00000000-0004-0000-1400-0000A0000000}"/>
    <hyperlink ref="T46" r:id="rId162" xr:uid="{00000000-0004-0000-1400-0000A1000000}"/>
    <hyperlink ref="AI46" r:id="rId163" xr:uid="{00000000-0004-0000-1400-0000A2000000}"/>
  </hyperlinks>
  <pageMargins left="0.7" right="0.7" top="0.75" bottom="0.75" header="0.3" footer="0.3"/>
  <pageSetup paperSize="9" orientation="portrait" r:id="rId164"/>
  <tableParts count="1">
    <tablePart r:id="rId165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4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4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4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4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J52"/>
  <sheetViews>
    <sheetView topLeftCell="AF1" zoomScale="90" zoomScaleNormal="90" workbookViewId="0">
      <selection activeCell="AI23" sqref="AI23"/>
    </sheetView>
  </sheetViews>
  <sheetFormatPr baseColWidth="10" defaultRowHeight="15" x14ac:dyDescent="0.25"/>
  <cols>
    <col min="1" max="1" width="7" customWidth="1"/>
    <col min="2" max="2" width="16.140625" customWidth="1"/>
    <col min="3" max="3" width="22.42578125" bestFit="1" customWidth="1"/>
    <col min="4" max="4" width="43.42578125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9.140625" bestFit="1" customWidth="1"/>
    <col min="10" max="10" width="13.5703125" customWidth="1"/>
    <col min="11" max="11" width="22.85546875" bestFit="1" customWidth="1"/>
    <col min="12" max="12" width="44.28515625" bestFit="1" customWidth="1"/>
    <col min="13" max="13" width="33" customWidth="1"/>
    <col min="14" max="14" width="38.42578125" bestFit="1" customWidth="1"/>
    <col min="15" max="15" width="12" bestFit="1" customWidth="1"/>
    <col min="16" max="16" width="11" customWidth="1"/>
    <col min="17" max="17" width="43.42578125" customWidth="1"/>
    <col min="18" max="18" width="39.5703125" customWidth="1"/>
    <col min="19" max="19" width="31.28515625" customWidth="1"/>
    <col min="20" max="20" width="38.42578125" bestFit="1" customWidth="1"/>
    <col min="21" max="21" width="12" bestFit="1" customWidth="1"/>
    <col min="22" max="22" width="11" customWidth="1"/>
    <col min="23" max="23" width="44.42578125" customWidth="1"/>
    <col min="24" max="24" width="36.5703125" bestFit="1" customWidth="1"/>
    <col min="25" max="25" width="31.28515625" customWidth="1"/>
    <col min="26" max="26" width="35.7109375" bestFit="1" customWidth="1"/>
    <col min="27" max="27" width="13" customWidth="1"/>
    <col min="28" max="28" width="11.85546875" customWidth="1"/>
    <col min="29" max="29" width="45.42578125" customWidth="1"/>
    <col min="30" max="30" width="33.85546875" customWidth="1"/>
    <col min="31" max="31" width="32.28515625" customWidth="1"/>
    <col min="32" max="32" width="33.7109375" bestFit="1" customWidth="1"/>
    <col min="33" max="33" width="13" customWidth="1"/>
    <col min="34" max="34" width="11.85546875" customWidth="1"/>
    <col min="35" max="35" width="60.42578125" customWidth="1"/>
  </cols>
  <sheetData>
    <row r="1" spans="1:36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6" x14ac:dyDescent="0.25">
      <c r="A2" s="1" t="s">
        <v>1010</v>
      </c>
      <c r="B2" s="18" t="s">
        <v>2909</v>
      </c>
      <c r="C2" s="1" t="s">
        <v>1701</v>
      </c>
      <c r="D2" s="1" t="s">
        <v>1700</v>
      </c>
      <c r="E2" s="1" t="s">
        <v>1702</v>
      </c>
      <c r="F2" s="1" t="s">
        <v>4865</v>
      </c>
      <c r="G2" s="1" t="s">
        <v>4874</v>
      </c>
      <c r="H2" s="1" t="s">
        <v>4869</v>
      </c>
      <c r="I2" s="1" t="s">
        <v>5099</v>
      </c>
      <c r="J2" s="1" t="s">
        <v>4896</v>
      </c>
      <c r="K2" s="1" t="s">
        <v>4911</v>
      </c>
      <c r="L2" s="1" t="s">
        <v>1511</v>
      </c>
      <c r="M2" s="1">
        <v>8186830508</v>
      </c>
      <c r="N2" s="11" t="s">
        <v>1703</v>
      </c>
      <c r="O2" s="1">
        <v>8186830508</v>
      </c>
      <c r="P2" s="9"/>
      <c r="Q2" s="1" t="s">
        <v>1702</v>
      </c>
      <c r="R2" s="1" t="s">
        <v>1511</v>
      </c>
      <c r="S2" s="1">
        <v>8186830508</v>
      </c>
      <c r="T2" s="11" t="s">
        <v>1703</v>
      </c>
      <c r="U2" s="1">
        <v>8186830508</v>
      </c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1" t="s">
        <v>1704</v>
      </c>
    </row>
    <row r="3" spans="1:36" x14ac:dyDescent="0.25">
      <c r="A3" s="1" t="s">
        <v>1011</v>
      </c>
      <c r="B3" s="18" t="s">
        <v>2910</v>
      </c>
      <c r="C3" s="1" t="s">
        <v>1566</v>
      </c>
      <c r="D3" s="1" t="s">
        <v>1705</v>
      </c>
      <c r="E3" s="1" t="s">
        <v>1706</v>
      </c>
      <c r="F3" s="1" t="s">
        <v>4867</v>
      </c>
      <c r="G3" s="1" t="s">
        <v>4875</v>
      </c>
      <c r="H3" s="1" t="s">
        <v>4869</v>
      </c>
      <c r="I3" s="1" t="s">
        <v>5102</v>
      </c>
      <c r="J3" s="1" t="s">
        <v>4896</v>
      </c>
      <c r="K3" s="1" t="s">
        <v>4911</v>
      </c>
      <c r="L3" s="1" t="s">
        <v>1707</v>
      </c>
      <c r="M3" s="1">
        <v>3331736367</v>
      </c>
      <c r="N3" s="11" t="s">
        <v>1708</v>
      </c>
      <c r="O3" s="1">
        <v>3331736367</v>
      </c>
      <c r="P3" s="9"/>
      <c r="Q3" s="1" t="s">
        <v>1709</v>
      </c>
      <c r="R3" s="1" t="s">
        <v>1710</v>
      </c>
      <c r="S3" s="1">
        <v>8110224311</v>
      </c>
      <c r="T3" s="11" t="s">
        <v>1711</v>
      </c>
      <c r="U3" s="1">
        <v>8110224311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1712</v>
      </c>
    </row>
    <row r="4" spans="1:36" x14ac:dyDescent="0.25">
      <c r="A4" s="1" t="s">
        <v>1012</v>
      </c>
      <c r="B4" s="18" t="s">
        <v>2911</v>
      </c>
      <c r="C4" s="1" t="s">
        <v>1506</v>
      </c>
      <c r="D4" s="1" t="s">
        <v>1713</v>
      </c>
      <c r="E4" s="1" t="s">
        <v>1714</v>
      </c>
      <c r="F4" s="1" t="s">
        <v>4865</v>
      </c>
      <c r="G4" s="1" t="s">
        <v>4873</v>
      </c>
      <c r="H4" s="1" t="s">
        <v>4869</v>
      </c>
      <c r="I4" s="1" t="s">
        <v>5009</v>
      </c>
      <c r="J4" s="1" t="s">
        <v>4896</v>
      </c>
      <c r="K4" s="1" t="s">
        <v>4911</v>
      </c>
      <c r="L4" s="1" t="s">
        <v>1715</v>
      </c>
      <c r="M4" s="1">
        <v>8119599019</v>
      </c>
      <c r="N4" s="11" t="s">
        <v>1716</v>
      </c>
      <c r="O4" s="1">
        <v>8119599019</v>
      </c>
      <c r="P4" s="9"/>
      <c r="Q4" s="1" t="s">
        <v>1714</v>
      </c>
      <c r="R4" s="1" t="s">
        <v>1715</v>
      </c>
      <c r="S4" s="1">
        <v>8119599019</v>
      </c>
      <c r="T4" s="11" t="s">
        <v>1716</v>
      </c>
      <c r="U4" s="1">
        <v>8119599019</v>
      </c>
      <c r="V4" s="9"/>
      <c r="W4" s="1" t="s">
        <v>1717</v>
      </c>
      <c r="X4" s="1" t="s">
        <v>1718</v>
      </c>
      <c r="Y4" s="1">
        <v>8132521502</v>
      </c>
      <c r="Z4" s="11" t="s">
        <v>1719</v>
      </c>
      <c r="AA4" s="1">
        <v>8132521502</v>
      </c>
      <c r="AB4" s="9"/>
      <c r="AC4" s="1"/>
      <c r="AD4" s="1"/>
      <c r="AE4" s="1"/>
      <c r="AF4" s="1"/>
      <c r="AG4" s="1"/>
      <c r="AI4" s="11" t="s">
        <v>1720</v>
      </c>
    </row>
    <row r="5" spans="1:36" x14ac:dyDescent="0.25">
      <c r="A5" s="1" t="s">
        <v>1013</v>
      </c>
      <c r="B5" s="18" t="s">
        <v>2912</v>
      </c>
      <c r="C5" s="1" t="s">
        <v>1434</v>
      </c>
      <c r="D5" s="1" t="s">
        <v>1815</v>
      </c>
      <c r="E5" s="1" t="s">
        <v>1816</v>
      </c>
      <c r="F5" s="1" t="s">
        <v>4865</v>
      </c>
      <c r="G5" s="1" t="s">
        <v>4873</v>
      </c>
      <c r="H5" s="1" t="s">
        <v>4869</v>
      </c>
      <c r="I5" s="1" t="s">
        <v>4956</v>
      </c>
      <c r="J5" s="1" t="s">
        <v>4896</v>
      </c>
      <c r="K5" s="1" t="s">
        <v>4911</v>
      </c>
      <c r="L5" s="1" t="s">
        <v>1817</v>
      </c>
      <c r="M5" s="1">
        <v>8183709741</v>
      </c>
      <c r="N5" s="11" t="s">
        <v>1818</v>
      </c>
      <c r="O5" s="1">
        <v>8117907114</v>
      </c>
      <c r="P5" s="9"/>
      <c r="Q5" s="1" t="s">
        <v>1819</v>
      </c>
      <c r="R5" s="1" t="s">
        <v>1383</v>
      </c>
      <c r="S5" s="1">
        <v>8183709741</v>
      </c>
      <c r="T5" s="11" t="s">
        <v>1820</v>
      </c>
      <c r="U5" s="1">
        <v>8115774833</v>
      </c>
      <c r="V5" s="9"/>
      <c r="W5" s="1" t="s">
        <v>1816</v>
      </c>
      <c r="X5" s="1" t="s">
        <v>1817</v>
      </c>
      <c r="Y5" s="1">
        <v>8183709741</v>
      </c>
      <c r="Z5" s="11" t="s">
        <v>1818</v>
      </c>
      <c r="AA5" s="1">
        <v>8117907114</v>
      </c>
      <c r="AB5" s="9"/>
      <c r="AC5" s="1" t="s">
        <v>1821</v>
      </c>
      <c r="AD5" s="1" t="s">
        <v>1822</v>
      </c>
      <c r="AE5" s="1">
        <v>8183709741</v>
      </c>
      <c r="AF5" s="11" t="s">
        <v>1823</v>
      </c>
      <c r="AG5" s="1">
        <v>8118678197</v>
      </c>
      <c r="AI5" s="11" t="s">
        <v>1824</v>
      </c>
    </row>
    <row r="6" spans="1:36" x14ac:dyDescent="0.25">
      <c r="A6" s="1" t="s">
        <v>1014</v>
      </c>
      <c r="B6" s="18" t="s">
        <v>3998</v>
      </c>
      <c r="C6" s="1" t="s">
        <v>2259</v>
      </c>
      <c r="D6" s="1" t="s">
        <v>2639</v>
      </c>
      <c r="E6" s="1" t="s">
        <v>2640</v>
      </c>
      <c r="F6" s="1" t="s">
        <v>4865</v>
      </c>
      <c r="G6" s="1" t="s">
        <v>4875</v>
      </c>
      <c r="H6" s="1" t="s">
        <v>4869</v>
      </c>
      <c r="I6" s="1" t="s">
        <v>1511</v>
      </c>
      <c r="J6" s="1" t="s">
        <v>4896</v>
      </c>
      <c r="K6" s="1" t="s">
        <v>4924</v>
      </c>
      <c r="L6" s="1" t="s">
        <v>2641</v>
      </c>
      <c r="M6" s="1" t="s">
        <v>1483</v>
      </c>
      <c r="N6" s="1" t="s">
        <v>1483</v>
      </c>
      <c r="O6" s="1" t="s">
        <v>1483</v>
      </c>
      <c r="P6" s="9"/>
      <c r="Q6" s="1" t="s">
        <v>2642</v>
      </c>
      <c r="R6" s="1" t="s">
        <v>2643</v>
      </c>
      <c r="S6" s="1">
        <v>8115617442</v>
      </c>
      <c r="T6" s="11" t="s">
        <v>2644</v>
      </c>
      <c r="U6" s="1">
        <v>8115617442</v>
      </c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1" t="s">
        <v>2645</v>
      </c>
    </row>
    <row r="7" spans="1:36" x14ac:dyDescent="0.25">
      <c r="A7" s="1" t="s">
        <v>1015</v>
      </c>
      <c r="B7" s="18" t="s">
        <v>3997</v>
      </c>
      <c r="C7" s="1" t="s">
        <v>2259</v>
      </c>
      <c r="D7" s="1" t="s">
        <v>2646</v>
      </c>
      <c r="E7" s="1" t="s">
        <v>2647</v>
      </c>
      <c r="F7" s="1" t="s">
        <v>4865</v>
      </c>
      <c r="G7" s="1" t="s">
        <v>4875</v>
      </c>
      <c r="H7" s="1" t="s">
        <v>4871</v>
      </c>
      <c r="I7" s="1" t="s">
        <v>5020</v>
      </c>
      <c r="J7" s="1" t="s">
        <v>4896</v>
      </c>
      <c r="K7" s="1" t="s">
        <v>4911</v>
      </c>
      <c r="L7" s="1" t="s">
        <v>2648</v>
      </c>
      <c r="M7" s="1">
        <v>8135523131</v>
      </c>
      <c r="N7" s="11" t="s">
        <v>2649</v>
      </c>
      <c r="O7" s="1">
        <v>8135523131</v>
      </c>
      <c r="P7" s="9"/>
      <c r="Q7" s="1" t="s">
        <v>2647</v>
      </c>
      <c r="R7" s="1" t="s">
        <v>2648</v>
      </c>
      <c r="S7" s="1">
        <v>8135523131</v>
      </c>
      <c r="T7" s="11" t="s">
        <v>2649</v>
      </c>
      <c r="U7" s="1">
        <v>8135523131</v>
      </c>
      <c r="V7" s="9"/>
      <c r="W7" s="1" t="s">
        <v>2650</v>
      </c>
      <c r="X7" s="1" t="s">
        <v>2651</v>
      </c>
      <c r="Y7" s="1">
        <v>8110657190</v>
      </c>
      <c r="Z7" s="11" t="s">
        <v>2652</v>
      </c>
      <c r="AA7" s="1">
        <v>8110657190</v>
      </c>
      <c r="AB7" s="9"/>
      <c r="AC7" s="1"/>
      <c r="AD7" s="1"/>
      <c r="AE7" s="1"/>
      <c r="AF7" s="1"/>
      <c r="AG7" s="1"/>
      <c r="AI7" s="11" t="s">
        <v>2653</v>
      </c>
    </row>
    <row r="8" spans="1:36" x14ac:dyDescent="0.25">
      <c r="A8" s="1" t="s">
        <v>1016</v>
      </c>
      <c r="B8" s="18" t="s">
        <v>2913</v>
      </c>
      <c r="C8" s="1" t="s">
        <v>2259</v>
      </c>
      <c r="D8" s="1" t="s">
        <v>2785</v>
      </c>
      <c r="E8" s="1" t="s">
        <v>2654</v>
      </c>
      <c r="F8" s="1" t="s">
        <v>4864</v>
      </c>
      <c r="G8" s="1" t="s">
        <v>4874</v>
      </c>
      <c r="H8" s="1" t="s">
        <v>4869</v>
      </c>
      <c r="I8" s="1" t="s">
        <v>4920</v>
      </c>
      <c r="J8" s="1" t="s">
        <v>4896</v>
      </c>
      <c r="K8" s="1" t="s">
        <v>4946</v>
      </c>
      <c r="L8" s="1" t="s">
        <v>2655</v>
      </c>
      <c r="M8" s="1" t="s">
        <v>1483</v>
      </c>
      <c r="N8" s="11" t="s">
        <v>2656</v>
      </c>
      <c r="O8" s="1" t="s">
        <v>1483</v>
      </c>
      <c r="P8" s="9"/>
      <c r="Q8" s="1" t="s">
        <v>2657</v>
      </c>
      <c r="R8" s="1" t="s">
        <v>2658</v>
      </c>
      <c r="S8" s="1">
        <v>8110134217</v>
      </c>
      <c r="T8" s="11" t="s">
        <v>2659</v>
      </c>
      <c r="U8" s="1">
        <v>8110134217</v>
      </c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1" t="s">
        <v>2660</v>
      </c>
    </row>
    <row r="9" spans="1:36" x14ac:dyDescent="0.25">
      <c r="A9" s="1" t="s">
        <v>1017</v>
      </c>
      <c r="B9" s="1"/>
      <c r="C9" s="1" t="s">
        <v>2259</v>
      </c>
      <c r="D9" s="1" t="s">
        <v>2661</v>
      </c>
      <c r="E9" s="1" t="s">
        <v>2662</v>
      </c>
      <c r="F9" s="1" t="s">
        <v>4867</v>
      </c>
      <c r="G9" s="1" t="s">
        <v>4875</v>
      </c>
      <c r="H9" s="1" t="s">
        <v>4869</v>
      </c>
      <c r="I9" s="1" t="s">
        <v>4920</v>
      </c>
      <c r="J9" s="1" t="s">
        <v>4896</v>
      </c>
      <c r="K9" s="1" t="s">
        <v>4924</v>
      </c>
      <c r="L9" s="1" t="s">
        <v>1770</v>
      </c>
      <c r="M9" s="1" t="s">
        <v>2663</v>
      </c>
      <c r="N9" s="11" t="s">
        <v>2664</v>
      </c>
      <c r="O9" s="1">
        <v>8180105195</v>
      </c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1" t="s">
        <v>3878</v>
      </c>
    </row>
    <row r="10" spans="1:36" x14ac:dyDescent="0.25">
      <c r="A10" s="1" t="s">
        <v>1018</v>
      </c>
      <c r="B10" s="18" t="s">
        <v>2914</v>
      </c>
      <c r="C10" s="1" t="s">
        <v>1848</v>
      </c>
      <c r="D10" s="1" t="s">
        <v>2665</v>
      </c>
      <c r="E10" s="1" t="s">
        <v>2666</v>
      </c>
      <c r="F10" s="1" t="s">
        <v>4864</v>
      </c>
      <c r="G10" s="1" t="s">
        <v>4875</v>
      </c>
      <c r="H10" s="1" t="s">
        <v>4869</v>
      </c>
      <c r="I10" s="1" t="s">
        <v>4944</v>
      </c>
      <c r="J10" s="1" t="s">
        <v>4896</v>
      </c>
      <c r="K10" s="1" t="s">
        <v>4941</v>
      </c>
      <c r="L10" s="1" t="s">
        <v>1483</v>
      </c>
      <c r="M10" s="1" t="s">
        <v>1483</v>
      </c>
      <c r="N10" s="1" t="s">
        <v>1483</v>
      </c>
      <c r="O10" s="1" t="s">
        <v>1483</v>
      </c>
      <c r="P10" s="9"/>
      <c r="Q10" s="1" t="s">
        <v>2667</v>
      </c>
      <c r="R10" s="1" t="s">
        <v>2668</v>
      </c>
      <c r="S10" s="1">
        <v>8120515816</v>
      </c>
      <c r="T10" s="11" t="s">
        <v>1893</v>
      </c>
      <c r="U10" s="1">
        <v>8120515816</v>
      </c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1" t="s">
        <v>2669</v>
      </c>
    </row>
    <row r="11" spans="1:36" x14ac:dyDescent="0.25">
      <c r="A11" s="1" t="s">
        <v>1019</v>
      </c>
      <c r="B11" s="18" t="s">
        <v>2915</v>
      </c>
      <c r="C11" s="1" t="s">
        <v>2671</v>
      </c>
      <c r="D11" s="1" t="s">
        <v>2670</v>
      </c>
      <c r="E11" s="1" t="s">
        <v>2672</v>
      </c>
      <c r="F11" s="1" t="s">
        <v>4867</v>
      </c>
      <c r="G11" s="1" t="s">
        <v>4875</v>
      </c>
      <c r="H11" s="1" t="s">
        <v>4869</v>
      </c>
      <c r="I11" s="1" t="s">
        <v>4918</v>
      </c>
      <c r="J11" s="1" t="s">
        <v>4896</v>
      </c>
      <c r="K11" s="1" t="s">
        <v>4911</v>
      </c>
      <c r="L11" s="1" t="s">
        <v>2680</v>
      </c>
      <c r="M11" s="1">
        <v>8180802086</v>
      </c>
      <c r="N11" s="11" t="s">
        <v>2673</v>
      </c>
      <c r="O11" s="1">
        <v>8180802086</v>
      </c>
      <c r="P11" s="9"/>
      <c r="Q11" s="1" t="s">
        <v>2674</v>
      </c>
      <c r="R11" s="1" t="s">
        <v>2675</v>
      </c>
      <c r="S11" s="1">
        <v>8126000321</v>
      </c>
      <c r="T11" s="11" t="s">
        <v>2676</v>
      </c>
      <c r="U11" s="1">
        <v>8126000321</v>
      </c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1" t="s">
        <v>2677</v>
      </c>
    </row>
    <row r="12" spans="1:36" x14ac:dyDescent="0.25">
      <c r="A12" s="1" t="s">
        <v>1020</v>
      </c>
      <c r="B12" s="18" t="s">
        <v>2916</v>
      </c>
      <c r="C12" s="1" t="s">
        <v>2264</v>
      </c>
      <c r="D12" s="1" t="s">
        <v>2678</v>
      </c>
      <c r="E12" s="1" t="s">
        <v>2679</v>
      </c>
      <c r="F12" s="1" t="s">
        <v>4865</v>
      </c>
      <c r="G12" s="1" t="s">
        <v>4874</v>
      </c>
      <c r="H12" s="1" t="s">
        <v>4869</v>
      </c>
      <c r="I12" s="1" t="s">
        <v>4933</v>
      </c>
      <c r="J12" s="1" t="s">
        <v>4896</v>
      </c>
      <c r="K12" s="1" t="s">
        <v>4928</v>
      </c>
      <c r="L12" s="1" t="s">
        <v>2681</v>
      </c>
      <c r="M12" s="1">
        <v>8182594586</v>
      </c>
      <c r="N12" s="11" t="s">
        <v>2682</v>
      </c>
      <c r="O12" s="1">
        <v>8182594586</v>
      </c>
      <c r="P12" s="9"/>
      <c r="Q12" s="1" t="s">
        <v>2679</v>
      </c>
      <c r="R12" s="1" t="s">
        <v>2681</v>
      </c>
      <c r="S12" s="1">
        <v>8182594586</v>
      </c>
      <c r="T12" s="11" t="s">
        <v>2682</v>
      </c>
      <c r="U12" s="1">
        <v>8182594586</v>
      </c>
      <c r="V12" s="9"/>
      <c r="W12" s="1" t="s">
        <v>2683</v>
      </c>
      <c r="X12" s="1" t="s">
        <v>1585</v>
      </c>
      <c r="Y12" s="1">
        <v>8132181453</v>
      </c>
      <c r="Z12" s="11" t="s">
        <v>2684</v>
      </c>
      <c r="AA12" s="1">
        <v>8132181453</v>
      </c>
      <c r="AB12" s="9"/>
      <c r="AC12" s="1"/>
      <c r="AD12" s="1"/>
      <c r="AE12" s="1"/>
      <c r="AF12" s="1"/>
      <c r="AG12" s="1"/>
      <c r="AI12" s="11" t="s">
        <v>2685</v>
      </c>
    </row>
    <row r="13" spans="1:36" x14ac:dyDescent="0.25">
      <c r="A13" s="1" t="s">
        <v>1021</v>
      </c>
      <c r="B13" s="18" t="s">
        <v>3971</v>
      </c>
      <c r="C13" s="1" t="s">
        <v>2622</v>
      </c>
      <c r="D13" s="1" t="s">
        <v>2730</v>
      </c>
      <c r="E13" s="1" t="s">
        <v>2731</v>
      </c>
      <c r="F13" s="1" t="s">
        <v>4864</v>
      </c>
      <c r="G13" s="1" t="s">
        <v>4874</v>
      </c>
      <c r="H13" s="1" t="s">
        <v>4869</v>
      </c>
      <c r="I13" s="1" t="s">
        <v>4944</v>
      </c>
      <c r="J13" s="1" t="s">
        <v>4896</v>
      </c>
      <c r="K13" s="1" t="s">
        <v>4924</v>
      </c>
      <c r="L13" s="1" t="s">
        <v>2732</v>
      </c>
      <c r="M13" s="1">
        <v>8312365278</v>
      </c>
      <c r="N13" s="11" t="s">
        <v>2733</v>
      </c>
      <c r="O13" s="1">
        <v>8312766278</v>
      </c>
      <c r="P13" s="9"/>
      <c r="Q13" s="1" t="s">
        <v>2734</v>
      </c>
      <c r="R13" s="1" t="s">
        <v>2735</v>
      </c>
      <c r="S13" s="1">
        <v>8126211066</v>
      </c>
      <c r="T13" s="11" t="s">
        <v>2736</v>
      </c>
      <c r="U13" s="1">
        <v>8126211066</v>
      </c>
      <c r="V13" s="9"/>
      <c r="W13" s="1" t="s">
        <v>2731</v>
      </c>
      <c r="X13" s="1" t="s">
        <v>2732</v>
      </c>
      <c r="Y13" s="1">
        <v>8312365278</v>
      </c>
      <c r="Z13" s="11" t="s">
        <v>2733</v>
      </c>
      <c r="AA13" s="1">
        <v>8312766278</v>
      </c>
      <c r="AB13" s="9"/>
      <c r="AC13" s="1" t="s">
        <v>2737</v>
      </c>
      <c r="AD13" s="1" t="s">
        <v>2738</v>
      </c>
      <c r="AE13" s="1">
        <v>8113018165</v>
      </c>
      <c r="AF13" s="11" t="s">
        <v>2739</v>
      </c>
      <c r="AG13" s="1">
        <v>8113018165</v>
      </c>
      <c r="AI13" s="11" t="s">
        <v>2740</v>
      </c>
    </row>
    <row r="14" spans="1:36" x14ac:dyDescent="0.25">
      <c r="A14" s="1" t="s">
        <v>1022</v>
      </c>
      <c r="B14" s="18" t="s">
        <v>3970</v>
      </c>
      <c r="C14" s="1" t="s">
        <v>3353</v>
      </c>
      <c r="D14" s="1" t="s">
        <v>3354</v>
      </c>
      <c r="E14" s="1" t="s">
        <v>3355</v>
      </c>
      <c r="F14" s="1" t="s">
        <v>4865</v>
      </c>
      <c r="G14" s="1" t="s">
        <v>4874</v>
      </c>
      <c r="H14" s="1" t="s">
        <v>4869</v>
      </c>
      <c r="I14" s="1" t="s">
        <v>5103</v>
      </c>
      <c r="J14" s="1" t="s">
        <v>4896</v>
      </c>
      <c r="K14" s="1" t="s">
        <v>4911</v>
      </c>
      <c r="L14" s="1" t="s">
        <v>1745</v>
      </c>
      <c r="M14" s="1">
        <v>8135633477</v>
      </c>
      <c r="N14" s="11" t="s">
        <v>3356</v>
      </c>
      <c r="O14" s="1">
        <v>8135633477</v>
      </c>
      <c r="P14" s="9"/>
      <c r="Q14" s="1" t="s">
        <v>3355</v>
      </c>
      <c r="R14" s="1" t="s">
        <v>1745</v>
      </c>
      <c r="S14" s="1">
        <v>8135633477</v>
      </c>
      <c r="T14" s="11" t="s">
        <v>3356</v>
      </c>
      <c r="U14" s="1">
        <v>8135633477</v>
      </c>
      <c r="V14" s="9"/>
      <c r="W14" s="1" t="s">
        <v>3357</v>
      </c>
      <c r="X14" s="1" t="s">
        <v>2303</v>
      </c>
      <c r="Y14" s="1">
        <v>8184522526</v>
      </c>
      <c r="Z14" s="11" t="s">
        <v>3358</v>
      </c>
      <c r="AA14" s="1">
        <v>8135634033</v>
      </c>
      <c r="AB14" s="9"/>
      <c r="AC14" s="1"/>
      <c r="AD14" s="1"/>
      <c r="AE14" s="1"/>
      <c r="AF14" s="1"/>
      <c r="AG14" s="1"/>
      <c r="AI14" s="11" t="s">
        <v>3822</v>
      </c>
      <c r="AJ14" s="20"/>
    </row>
    <row r="15" spans="1:36" x14ac:dyDescent="0.25">
      <c r="A15" s="1" t="s">
        <v>1023</v>
      </c>
      <c r="B15" s="18" t="s">
        <v>3969</v>
      </c>
      <c r="C15" s="1" t="s">
        <v>3076</v>
      </c>
      <c r="D15" s="1" t="s">
        <v>3359</v>
      </c>
      <c r="E15" s="1" t="s">
        <v>1483</v>
      </c>
      <c r="F15" s="1" t="s">
        <v>4867</v>
      </c>
      <c r="G15" s="1" t="s">
        <v>4875</v>
      </c>
      <c r="H15" s="1" t="s">
        <v>4869</v>
      </c>
      <c r="I15" s="1" t="s">
        <v>4953</v>
      </c>
      <c r="J15" s="1" t="s">
        <v>4896</v>
      </c>
      <c r="K15" s="1" t="s">
        <v>4924</v>
      </c>
      <c r="L15" s="1" t="s">
        <v>1483</v>
      </c>
      <c r="M15" s="1" t="s">
        <v>1483</v>
      </c>
      <c r="N15" s="1" t="s">
        <v>1483</v>
      </c>
      <c r="O15" s="1" t="s">
        <v>1483</v>
      </c>
      <c r="P15" s="9"/>
      <c r="Q15" s="1" t="s">
        <v>3361</v>
      </c>
      <c r="R15" s="1" t="s">
        <v>3360</v>
      </c>
      <c r="S15" s="1">
        <v>8181561027</v>
      </c>
      <c r="T15" s="11" t="s">
        <v>3362</v>
      </c>
      <c r="U15" s="1">
        <v>8134204046</v>
      </c>
      <c r="V15" s="9"/>
      <c r="W15" s="1" t="s">
        <v>3363</v>
      </c>
      <c r="X15" s="1" t="s">
        <v>3364</v>
      </c>
      <c r="Y15" s="1">
        <v>8181561057</v>
      </c>
      <c r="Z15" s="11" t="s">
        <v>3365</v>
      </c>
      <c r="AA15" s="1">
        <v>8134204046</v>
      </c>
      <c r="AB15" s="9"/>
      <c r="AC15" s="1"/>
      <c r="AD15" s="1"/>
      <c r="AE15" s="1"/>
      <c r="AF15" s="1"/>
      <c r="AG15" s="1"/>
      <c r="AI15" s="11" t="s">
        <v>3823</v>
      </c>
      <c r="AJ15" s="20"/>
    </row>
    <row r="16" spans="1:36" x14ac:dyDescent="0.25">
      <c r="A16" s="1" t="s">
        <v>1024</v>
      </c>
      <c r="B16" s="1"/>
      <c r="C16" s="1" t="s">
        <v>3464</v>
      </c>
      <c r="D16" s="1" t="s">
        <v>3618</v>
      </c>
      <c r="E16" s="1" t="s">
        <v>3619</v>
      </c>
      <c r="F16" s="1" t="s">
        <v>4865</v>
      </c>
      <c r="G16" s="1" t="s">
        <v>4873</v>
      </c>
      <c r="H16" s="1" t="s">
        <v>4869</v>
      </c>
      <c r="I16" s="1" t="s">
        <v>4922</v>
      </c>
      <c r="J16" s="1" t="s">
        <v>4896</v>
      </c>
      <c r="K16" s="1" t="s">
        <v>4911</v>
      </c>
      <c r="L16" s="1" t="s">
        <v>1483</v>
      </c>
      <c r="M16" s="1" t="s">
        <v>1483</v>
      </c>
      <c r="N16" s="1" t="s">
        <v>1483</v>
      </c>
      <c r="O16" s="1" t="s">
        <v>1483</v>
      </c>
      <c r="P16" s="9"/>
      <c r="Q16" s="1" t="s">
        <v>3620</v>
      </c>
      <c r="R16" s="1" t="s">
        <v>3621</v>
      </c>
      <c r="S16" s="1">
        <v>8110223447</v>
      </c>
      <c r="T16" s="11" t="s">
        <v>3622</v>
      </c>
      <c r="U16" s="1">
        <v>8110223447</v>
      </c>
      <c r="V16" s="9"/>
      <c r="W16" s="1" t="s">
        <v>3623</v>
      </c>
      <c r="X16" s="1" t="s">
        <v>3624</v>
      </c>
      <c r="Y16" s="1">
        <v>8121277100</v>
      </c>
      <c r="Z16" s="11" t="s">
        <v>3625</v>
      </c>
      <c r="AA16" s="1">
        <v>8121277100</v>
      </c>
      <c r="AB16" s="9"/>
      <c r="AC16" s="1" t="s">
        <v>3626</v>
      </c>
      <c r="AD16" s="1" t="s">
        <v>3627</v>
      </c>
      <c r="AE16" s="1">
        <v>8117004730</v>
      </c>
      <c r="AF16" s="11" t="s">
        <v>3628</v>
      </c>
      <c r="AG16" s="1">
        <v>8117004730</v>
      </c>
      <c r="AI16" s="11" t="s">
        <v>3629</v>
      </c>
    </row>
    <row r="17" spans="1:35" x14ac:dyDescent="0.25">
      <c r="A17" s="1" t="s">
        <v>1025</v>
      </c>
      <c r="B17" s="18" t="s">
        <v>3968</v>
      </c>
      <c r="C17" s="1" t="s">
        <v>3688</v>
      </c>
      <c r="D17" s="1" t="s">
        <v>3704</v>
      </c>
      <c r="E17" s="1" t="s">
        <v>3705</v>
      </c>
      <c r="F17" s="1" t="s">
        <v>4863</v>
      </c>
      <c r="G17" s="1" t="s">
        <v>4873</v>
      </c>
      <c r="H17" s="1" t="s">
        <v>4869</v>
      </c>
      <c r="I17" s="1" t="s">
        <v>4920</v>
      </c>
      <c r="J17" s="1" t="s">
        <v>4896</v>
      </c>
      <c r="K17" s="1" t="s">
        <v>4911</v>
      </c>
      <c r="L17" s="1" t="s">
        <v>2215</v>
      </c>
      <c r="M17" s="1">
        <v>8211116475</v>
      </c>
      <c r="N17" s="11" t="s">
        <v>3706</v>
      </c>
      <c r="O17" s="1">
        <v>8211116475</v>
      </c>
      <c r="P17" s="9"/>
      <c r="Q17" s="1" t="s">
        <v>3705</v>
      </c>
      <c r="R17" s="1" t="s">
        <v>2215</v>
      </c>
      <c r="S17" s="1">
        <v>8211116475</v>
      </c>
      <c r="T17" s="11" t="s">
        <v>3706</v>
      </c>
      <c r="U17" s="1">
        <v>8211116475</v>
      </c>
      <c r="V17" s="9"/>
      <c r="W17" s="1" t="s">
        <v>3707</v>
      </c>
      <c r="X17" s="1" t="s">
        <v>3708</v>
      </c>
      <c r="Y17" s="1">
        <v>8118021510</v>
      </c>
      <c r="Z17" s="11" t="s">
        <v>3709</v>
      </c>
      <c r="AA17" s="1">
        <v>8118021510</v>
      </c>
      <c r="AB17" s="9"/>
      <c r="AC17" s="1" t="s">
        <v>3710</v>
      </c>
      <c r="AD17" s="1" t="s">
        <v>3711</v>
      </c>
      <c r="AE17" s="1">
        <v>8180318449</v>
      </c>
      <c r="AF17" s="11" t="s">
        <v>3712</v>
      </c>
      <c r="AG17" s="1">
        <v>8180318449</v>
      </c>
      <c r="AI17" s="11" t="s">
        <v>3759</v>
      </c>
    </row>
    <row r="18" spans="1:35" x14ac:dyDescent="0.25">
      <c r="A18" s="1" t="s">
        <v>1026</v>
      </c>
      <c r="B18" s="1"/>
      <c r="C18" s="1" t="s">
        <v>3688</v>
      </c>
      <c r="D18" s="1" t="s">
        <v>3886</v>
      </c>
      <c r="E18" s="1" t="s">
        <v>1483</v>
      </c>
      <c r="F18" s="1" t="s">
        <v>4867</v>
      </c>
      <c r="G18" s="1" t="s">
        <v>4875</v>
      </c>
      <c r="H18" s="1" t="s">
        <v>4869</v>
      </c>
      <c r="I18" s="1" t="s">
        <v>4923</v>
      </c>
      <c r="J18" s="1" t="s">
        <v>4896</v>
      </c>
      <c r="K18" s="1" t="s">
        <v>4911</v>
      </c>
      <c r="L18" s="1" t="s">
        <v>1483</v>
      </c>
      <c r="M18" s="1" t="s">
        <v>1483</v>
      </c>
      <c r="N18" s="1" t="s">
        <v>1483</v>
      </c>
      <c r="O18" s="1" t="s">
        <v>1483</v>
      </c>
      <c r="P18" s="9"/>
      <c r="Q18" s="1" t="s">
        <v>3887</v>
      </c>
      <c r="R18" s="1" t="s">
        <v>3888</v>
      </c>
      <c r="S18" s="1">
        <v>8181621332</v>
      </c>
      <c r="T18" s="11" t="s">
        <v>3889</v>
      </c>
      <c r="U18" s="1">
        <v>8181621332</v>
      </c>
      <c r="V18" s="9"/>
      <c r="W18" s="1" t="s">
        <v>3890</v>
      </c>
      <c r="X18" s="1" t="s">
        <v>2363</v>
      </c>
      <c r="Y18" s="1">
        <v>8126505576</v>
      </c>
      <c r="Z18" s="11" t="s">
        <v>3891</v>
      </c>
      <c r="AA18" s="1">
        <v>8126505576</v>
      </c>
      <c r="AB18" s="9"/>
      <c r="AC18" s="1"/>
      <c r="AD18" s="1"/>
      <c r="AE18" s="1"/>
      <c r="AF18" s="1"/>
      <c r="AG18" s="1"/>
      <c r="AI18" s="11" t="s">
        <v>3892</v>
      </c>
    </row>
    <row r="19" spans="1:35" x14ac:dyDescent="0.25">
      <c r="A19" s="1" t="s">
        <v>1027</v>
      </c>
      <c r="B19" s="18" t="s">
        <v>4489</v>
      </c>
      <c r="C19" s="1" t="s">
        <v>4490</v>
      </c>
      <c r="D19" s="1" t="s">
        <v>4488</v>
      </c>
      <c r="E19" s="1" t="s">
        <v>4491</v>
      </c>
      <c r="F19" s="1" t="s">
        <v>4865</v>
      </c>
      <c r="G19" s="1" t="s">
        <v>4874</v>
      </c>
      <c r="H19" s="1" t="s">
        <v>4869</v>
      </c>
      <c r="I19" s="1" t="s">
        <v>4917</v>
      </c>
      <c r="J19" s="1" t="s">
        <v>4896</v>
      </c>
      <c r="K19" s="1" t="s">
        <v>4911</v>
      </c>
      <c r="L19" s="1" t="s">
        <v>4492</v>
      </c>
      <c r="M19" s="1">
        <v>8112559618</v>
      </c>
      <c r="N19" s="11" t="s">
        <v>4493</v>
      </c>
      <c r="O19" s="1">
        <v>8112559618</v>
      </c>
      <c r="P19" s="9"/>
      <c r="Q19" s="1" t="s">
        <v>4491</v>
      </c>
      <c r="R19" s="1" t="s">
        <v>4492</v>
      </c>
      <c r="S19" s="1">
        <v>8112559618</v>
      </c>
      <c r="T19" s="11" t="s">
        <v>4493</v>
      </c>
      <c r="U19" s="1">
        <v>8112559618</v>
      </c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1" t="s">
        <v>4494</v>
      </c>
    </row>
    <row r="20" spans="1:35" x14ac:dyDescent="0.25">
      <c r="A20" s="1" t="s">
        <v>1028</v>
      </c>
      <c r="B20" s="1"/>
      <c r="C20" s="1" t="s">
        <v>4192</v>
      </c>
      <c r="D20" s="1" t="s">
        <v>4844</v>
      </c>
      <c r="E20" s="1" t="s">
        <v>4845</v>
      </c>
      <c r="F20" s="1" t="s">
        <v>4864</v>
      </c>
      <c r="G20" s="1" t="s">
        <v>4875</v>
      </c>
      <c r="H20" s="1" t="s">
        <v>4869</v>
      </c>
      <c r="I20" s="1" t="s">
        <v>4953</v>
      </c>
      <c r="J20" s="1" t="s">
        <v>4896</v>
      </c>
      <c r="K20" s="1" t="s">
        <v>4911</v>
      </c>
      <c r="L20" s="1" t="s">
        <v>4846</v>
      </c>
      <c r="M20" s="1" t="s">
        <v>4847</v>
      </c>
      <c r="N20" s="11" t="s">
        <v>4848</v>
      </c>
      <c r="O20" s="1">
        <v>8180315804</v>
      </c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1" t="s">
        <v>4849</v>
      </c>
    </row>
    <row r="21" spans="1:35" x14ac:dyDescent="0.25">
      <c r="A21" s="1" t="s">
        <v>1029</v>
      </c>
      <c r="B21" s="18" t="s">
        <v>4985</v>
      </c>
      <c r="C21" s="1" t="s">
        <v>4716</v>
      </c>
      <c r="D21" s="1" t="s">
        <v>4984</v>
      </c>
      <c r="E21" s="1" t="s">
        <v>4986</v>
      </c>
      <c r="F21" s="1" t="s">
        <v>4865</v>
      </c>
      <c r="G21" s="1" t="s">
        <v>4875</v>
      </c>
      <c r="H21" s="1" t="s">
        <v>4869</v>
      </c>
      <c r="I21" s="1" t="s">
        <v>4936</v>
      </c>
      <c r="J21" s="1" t="s">
        <v>4896</v>
      </c>
      <c r="K21" s="1" t="s">
        <v>4911</v>
      </c>
      <c r="L21" s="1" t="s">
        <v>4987</v>
      </c>
      <c r="M21" s="1">
        <v>8128606288</v>
      </c>
      <c r="N21" s="11" t="s">
        <v>4988</v>
      </c>
      <c r="O21" s="1">
        <v>8128606288</v>
      </c>
      <c r="P21" s="9"/>
      <c r="Q21" s="1" t="s">
        <v>4986</v>
      </c>
      <c r="R21" s="1" t="s">
        <v>4987</v>
      </c>
      <c r="S21" s="1">
        <v>8128606288</v>
      </c>
      <c r="T21" s="11" t="s">
        <v>4988</v>
      </c>
      <c r="U21" s="1">
        <v>8128606288</v>
      </c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1" t="s">
        <v>4989</v>
      </c>
    </row>
    <row r="22" spans="1:35" x14ac:dyDescent="0.25">
      <c r="A22" s="1" t="s">
        <v>1030</v>
      </c>
      <c r="B22" s="1"/>
      <c r="C22" s="1" t="s">
        <v>5233</v>
      </c>
      <c r="D22" s="1" t="s">
        <v>5235</v>
      </c>
      <c r="E22" s="1" t="s">
        <v>5234</v>
      </c>
      <c r="F22" s="1" t="s">
        <v>4867</v>
      </c>
      <c r="G22" s="1" t="s">
        <v>4875</v>
      </c>
      <c r="H22" s="1" t="s">
        <v>4869</v>
      </c>
      <c r="I22" s="1" t="s">
        <v>4936</v>
      </c>
      <c r="J22" s="1" t="s">
        <v>4896</v>
      </c>
      <c r="K22" s="1" t="s">
        <v>4911</v>
      </c>
      <c r="L22" s="1" t="s">
        <v>5236</v>
      </c>
      <c r="M22" s="1">
        <v>8123434475</v>
      </c>
      <c r="N22" s="11" t="s">
        <v>5237</v>
      </c>
      <c r="O22" s="1">
        <v>8123434475</v>
      </c>
      <c r="P22" s="9"/>
      <c r="Q22" s="1" t="s">
        <v>5234</v>
      </c>
      <c r="R22" s="1" t="s">
        <v>5236</v>
      </c>
      <c r="S22" s="1">
        <v>8123434475</v>
      </c>
      <c r="T22" s="11" t="s">
        <v>5237</v>
      </c>
      <c r="U22" s="1">
        <v>8123434475</v>
      </c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1" t="s">
        <v>5238</v>
      </c>
    </row>
    <row r="23" spans="1:35" x14ac:dyDescent="0.25">
      <c r="A23" s="1" t="s">
        <v>1031</v>
      </c>
      <c r="B23" s="1"/>
      <c r="C23" s="1" t="s">
        <v>4375</v>
      </c>
      <c r="D23" s="1" t="s">
        <v>5310</v>
      </c>
      <c r="E23" s="1" t="s">
        <v>5311</v>
      </c>
      <c r="F23" s="1"/>
      <c r="G23" s="1"/>
      <c r="H23" s="1"/>
      <c r="I23" s="1"/>
      <c r="J23" s="1"/>
      <c r="K23" s="1"/>
      <c r="L23" s="1" t="s">
        <v>5249</v>
      </c>
      <c r="M23" s="1" t="s">
        <v>5312</v>
      </c>
      <c r="N23" s="11" t="s">
        <v>5313</v>
      </c>
      <c r="O23" s="1">
        <v>8110447580</v>
      </c>
      <c r="P23" s="9"/>
      <c r="Q23" s="1" t="s">
        <v>5311</v>
      </c>
      <c r="R23" s="1" t="s">
        <v>5249</v>
      </c>
      <c r="S23" s="1" t="s">
        <v>5312</v>
      </c>
      <c r="T23" s="11" t="s">
        <v>5313</v>
      </c>
      <c r="U23" s="1">
        <v>8110447580</v>
      </c>
      <c r="V23" s="9"/>
      <c r="W23" s="1" t="s">
        <v>5314</v>
      </c>
      <c r="X23" s="1" t="s">
        <v>2363</v>
      </c>
      <c r="Y23" s="1" t="s">
        <v>5315</v>
      </c>
      <c r="Z23" s="11" t="s">
        <v>5316</v>
      </c>
      <c r="AA23" s="1">
        <v>8123554919</v>
      </c>
      <c r="AB23" s="9"/>
      <c r="AC23" s="1" t="s">
        <v>5317</v>
      </c>
      <c r="AD23" s="1" t="s">
        <v>5318</v>
      </c>
      <c r="AE23" s="1" t="s">
        <v>5319</v>
      </c>
      <c r="AF23" s="11" t="s">
        <v>5320</v>
      </c>
      <c r="AG23" s="1" t="s">
        <v>1398</v>
      </c>
      <c r="AI23" s="11" t="s">
        <v>5321</v>
      </c>
    </row>
    <row r="24" spans="1:35" x14ac:dyDescent="0.25">
      <c r="A24" s="1" t="s">
        <v>1032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1033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1034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1035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1036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1037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1038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1039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1040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1041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1042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1043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1044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1045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1046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1047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1048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1049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1050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1051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1052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1053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1054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1055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1056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1057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1058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1059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SUBTOTAL(103,Tabla25[ARCHIVO])</f>
        <v>22</v>
      </c>
    </row>
  </sheetData>
  <hyperlinks>
    <hyperlink ref="N2" r:id="rId1" xr:uid="{00000000-0004-0000-1500-000000000000}"/>
    <hyperlink ref="T2" r:id="rId2" xr:uid="{00000000-0004-0000-1500-000001000000}"/>
    <hyperlink ref="AI2" r:id="rId3" xr:uid="{00000000-0004-0000-1500-000002000000}"/>
    <hyperlink ref="N3" r:id="rId4" xr:uid="{00000000-0004-0000-1500-000003000000}"/>
    <hyperlink ref="T3" r:id="rId5" xr:uid="{00000000-0004-0000-1500-000004000000}"/>
    <hyperlink ref="AI3" r:id="rId6" xr:uid="{00000000-0004-0000-1500-000005000000}"/>
    <hyperlink ref="N4" r:id="rId7" xr:uid="{00000000-0004-0000-1500-000006000000}"/>
    <hyperlink ref="T4" r:id="rId8" xr:uid="{00000000-0004-0000-1500-000007000000}"/>
    <hyperlink ref="Z4" r:id="rId9" xr:uid="{00000000-0004-0000-1500-000008000000}"/>
    <hyperlink ref="AI4" r:id="rId10" xr:uid="{00000000-0004-0000-1500-000009000000}"/>
    <hyperlink ref="N5" r:id="rId11" xr:uid="{00000000-0004-0000-1500-00000A000000}"/>
    <hyperlink ref="T5" r:id="rId12" xr:uid="{00000000-0004-0000-1500-00000B000000}"/>
    <hyperlink ref="Z5" r:id="rId13" xr:uid="{00000000-0004-0000-1500-00000C000000}"/>
    <hyperlink ref="AF5" r:id="rId14" xr:uid="{00000000-0004-0000-1500-00000D000000}"/>
    <hyperlink ref="AI5" r:id="rId15" xr:uid="{00000000-0004-0000-1500-00000E000000}"/>
    <hyperlink ref="T6" r:id="rId16" xr:uid="{00000000-0004-0000-1500-00000F000000}"/>
    <hyperlink ref="AI6" r:id="rId17" xr:uid="{00000000-0004-0000-1500-000010000000}"/>
    <hyperlink ref="N7" r:id="rId18" xr:uid="{00000000-0004-0000-1500-000011000000}"/>
    <hyperlink ref="T7" r:id="rId19" xr:uid="{00000000-0004-0000-1500-000012000000}"/>
    <hyperlink ref="Z7" r:id="rId20" xr:uid="{00000000-0004-0000-1500-000013000000}"/>
    <hyperlink ref="AI7" r:id="rId21" xr:uid="{00000000-0004-0000-1500-000014000000}"/>
    <hyperlink ref="N8" r:id="rId22" xr:uid="{00000000-0004-0000-1500-000015000000}"/>
    <hyperlink ref="T8" r:id="rId23" xr:uid="{00000000-0004-0000-1500-000016000000}"/>
    <hyperlink ref="AI8" r:id="rId24" xr:uid="{00000000-0004-0000-1500-000017000000}"/>
    <hyperlink ref="N9" r:id="rId25" xr:uid="{00000000-0004-0000-1500-000018000000}"/>
    <hyperlink ref="T10" r:id="rId26" xr:uid="{00000000-0004-0000-1500-000019000000}"/>
    <hyperlink ref="AI10" r:id="rId27" xr:uid="{00000000-0004-0000-1500-00001A000000}"/>
    <hyperlink ref="N11" r:id="rId28" xr:uid="{00000000-0004-0000-1500-00001B000000}"/>
    <hyperlink ref="T11" r:id="rId29" xr:uid="{00000000-0004-0000-1500-00001C000000}"/>
    <hyperlink ref="AI11" r:id="rId30" xr:uid="{00000000-0004-0000-1500-00001D000000}"/>
    <hyperlink ref="N12" r:id="rId31" xr:uid="{00000000-0004-0000-1500-00001E000000}"/>
    <hyperlink ref="T12" r:id="rId32" xr:uid="{00000000-0004-0000-1500-00001F000000}"/>
    <hyperlink ref="Z12" r:id="rId33" xr:uid="{00000000-0004-0000-1500-000020000000}"/>
    <hyperlink ref="AI12" r:id="rId34" xr:uid="{00000000-0004-0000-1500-000021000000}"/>
    <hyperlink ref="N13" r:id="rId35" xr:uid="{00000000-0004-0000-1500-000022000000}"/>
    <hyperlink ref="T13" r:id="rId36" xr:uid="{00000000-0004-0000-1500-000023000000}"/>
    <hyperlink ref="Z13" r:id="rId37" xr:uid="{00000000-0004-0000-1500-000024000000}"/>
    <hyperlink ref="AF13" r:id="rId38" xr:uid="{00000000-0004-0000-1500-000025000000}"/>
    <hyperlink ref="AI13" r:id="rId39" xr:uid="{00000000-0004-0000-1500-000026000000}"/>
    <hyperlink ref="N14" r:id="rId40" xr:uid="{00000000-0004-0000-1500-000027000000}"/>
    <hyperlink ref="T14" r:id="rId41" xr:uid="{00000000-0004-0000-1500-000028000000}"/>
    <hyperlink ref="Z14" r:id="rId42" xr:uid="{00000000-0004-0000-1500-000029000000}"/>
    <hyperlink ref="T15" r:id="rId43" xr:uid="{00000000-0004-0000-1500-00002A000000}"/>
    <hyperlink ref="Z15" r:id="rId44" xr:uid="{00000000-0004-0000-1500-00002B000000}"/>
    <hyperlink ref="T16" r:id="rId45" xr:uid="{00000000-0004-0000-1500-00002C000000}"/>
    <hyperlink ref="Z16" r:id="rId46" xr:uid="{00000000-0004-0000-1500-00002D000000}"/>
    <hyperlink ref="AF16" r:id="rId47" xr:uid="{00000000-0004-0000-1500-00002E000000}"/>
    <hyperlink ref="AI16" r:id="rId48" xr:uid="{00000000-0004-0000-1500-00002F000000}"/>
    <hyperlink ref="N17" r:id="rId49" xr:uid="{00000000-0004-0000-1500-000030000000}"/>
    <hyperlink ref="T17" r:id="rId50" xr:uid="{00000000-0004-0000-1500-000031000000}"/>
    <hyperlink ref="Z17" r:id="rId51" xr:uid="{00000000-0004-0000-1500-000032000000}"/>
    <hyperlink ref="AF17" r:id="rId52" xr:uid="{00000000-0004-0000-1500-000033000000}"/>
    <hyperlink ref="AI17" r:id="rId53" xr:uid="{00000000-0004-0000-1500-000034000000}"/>
    <hyperlink ref="AI14" r:id="rId54" xr:uid="{00000000-0004-0000-1500-000035000000}"/>
    <hyperlink ref="AI15" r:id="rId55" xr:uid="{00000000-0004-0000-1500-000036000000}"/>
    <hyperlink ref="AI9" r:id="rId56" xr:uid="{00000000-0004-0000-1500-000037000000}"/>
    <hyperlink ref="T18" r:id="rId57" xr:uid="{00000000-0004-0000-1500-000038000000}"/>
    <hyperlink ref="Z18" r:id="rId58" xr:uid="{00000000-0004-0000-1500-000039000000}"/>
    <hyperlink ref="AI18" r:id="rId59" xr:uid="{00000000-0004-0000-1500-00003A000000}"/>
    <hyperlink ref="N19" r:id="rId60" xr:uid="{00000000-0004-0000-1500-00003B000000}"/>
    <hyperlink ref="T19" r:id="rId61" xr:uid="{00000000-0004-0000-1500-00003C000000}"/>
    <hyperlink ref="AI19" r:id="rId62" xr:uid="{00000000-0004-0000-1500-00003D000000}"/>
    <hyperlink ref="N20" r:id="rId63" xr:uid="{00000000-0004-0000-1500-00003E000000}"/>
    <hyperlink ref="AI20" r:id="rId64" xr:uid="{00000000-0004-0000-1500-00003F000000}"/>
    <hyperlink ref="N21" r:id="rId65" xr:uid="{00000000-0004-0000-1500-000040000000}"/>
    <hyperlink ref="T21" r:id="rId66" xr:uid="{00000000-0004-0000-1500-000041000000}"/>
    <hyperlink ref="AI21" r:id="rId67" xr:uid="{00000000-0004-0000-1500-000042000000}"/>
    <hyperlink ref="N22" r:id="rId68" xr:uid="{00000000-0004-0000-1500-000043000000}"/>
    <hyperlink ref="T22" r:id="rId69" xr:uid="{00000000-0004-0000-1500-000044000000}"/>
    <hyperlink ref="AI22" r:id="rId70" xr:uid="{00000000-0004-0000-1500-000045000000}"/>
    <hyperlink ref="N23" r:id="rId71" xr:uid="{00000000-0004-0000-1500-000046000000}"/>
    <hyperlink ref="T23" r:id="rId72" xr:uid="{00000000-0004-0000-1500-000047000000}"/>
    <hyperlink ref="Z23" r:id="rId73" xr:uid="{00000000-0004-0000-1500-000048000000}"/>
    <hyperlink ref="AF23" r:id="rId74" xr:uid="{00000000-0004-0000-1500-000049000000}"/>
    <hyperlink ref="AI23" r:id="rId75" xr:uid="{00000000-0004-0000-1500-00004A000000}"/>
  </hyperlinks>
  <pageMargins left="0.7" right="0.7" top="0.75" bottom="0.75" header="0.3" footer="0.3"/>
  <pageSetup paperSize="9" orientation="portrait" r:id="rId76"/>
  <tableParts count="1">
    <tablePart r:id="rId7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5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5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5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5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I52"/>
  <sheetViews>
    <sheetView topLeftCell="Z1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0.140625" bestFit="1" customWidth="1"/>
    <col min="4" max="4" width="39.85546875" bestFit="1" customWidth="1"/>
    <col min="5" max="5" width="55.42578125" customWidth="1"/>
    <col min="6" max="6" width="27.28515625" customWidth="1"/>
    <col min="7" max="7" width="23.140625" bestFit="1" customWidth="1"/>
    <col min="8" max="11" width="13.5703125" customWidth="1"/>
    <col min="12" max="12" width="28.85546875" customWidth="1"/>
    <col min="13" max="13" width="30.28515625" customWidth="1"/>
    <col min="14" max="14" width="36.7109375" bestFit="1" customWidth="1"/>
    <col min="15" max="15" width="12" bestFit="1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36.7109375" bestFit="1" customWidth="1"/>
    <col min="21" max="21" width="12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6.7109375" bestFit="1" customWidth="1"/>
    <col min="27" max="27" width="21.85546875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0" customWidth="1"/>
    <col min="33" max="33" width="13" customWidth="1"/>
    <col min="34" max="34" width="11.85546875" customWidth="1"/>
    <col min="35" max="35" width="70.71093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1060</v>
      </c>
      <c r="B2" s="18" t="s">
        <v>2917</v>
      </c>
      <c r="C2" s="1" t="s">
        <v>2742</v>
      </c>
      <c r="D2" s="1" t="s">
        <v>2741</v>
      </c>
      <c r="E2" s="1" t="s">
        <v>2743</v>
      </c>
      <c r="F2" s="37" t="s">
        <v>4865</v>
      </c>
      <c r="G2" s="37" t="s">
        <v>4873</v>
      </c>
      <c r="H2" s="37" t="s">
        <v>4869</v>
      </c>
      <c r="I2" s="37" t="s">
        <v>4918</v>
      </c>
      <c r="J2" s="37" t="s">
        <v>4896</v>
      </c>
      <c r="K2" t="s">
        <v>4943</v>
      </c>
      <c r="L2" s="1" t="s">
        <v>1511</v>
      </c>
      <c r="M2" s="1">
        <v>8132310791</v>
      </c>
      <c r="N2" s="11" t="s">
        <v>2744</v>
      </c>
      <c r="O2" s="1">
        <v>8110602076</v>
      </c>
      <c r="P2" s="9"/>
      <c r="Q2" s="1" t="s">
        <v>2743</v>
      </c>
      <c r="R2" s="1" t="s">
        <v>1511</v>
      </c>
      <c r="S2" s="1">
        <v>8132310791</v>
      </c>
      <c r="T2" s="11" t="s">
        <v>2744</v>
      </c>
      <c r="U2" s="1">
        <v>8110602076</v>
      </c>
      <c r="V2" s="9"/>
      <c r="W2" s="1" t="s">
        <v>2743</v>
      </c>
      <c r="X2" s="1" t="s">
        <v>1511</v>
      </c>
      <c r="Y2" s="1">
        <v>8132310791</v>
      </c>
      <c r="Z2" s="11" t="s">
        <v>2744</v>
      </c>
      <c r="AA2" s="1">
        <v>8110602076</v>
      </c>
      <c r="AB2" s="9"/>
      <c r="AC2" s="1"/>
      <c r="AD2" s="1"/>
      <c r="AE2" s="1"/>
      <c r="AF2" s="1"/>
      <c r="AG2" s="1"/>
      <c r="AI2" s="11" t="s">
        <v>2745</v>
      </c>
    </row>
    <row r="3" spans="1:35" x14ac:dyDescent="0.25">
      <c r="A3" s="1" t="s">
        <v>1061</v>
      </c>
      <c r="B3" s="18" t="s">
        <v>3972</v>
      </c>
      <c r="C3" s="1" t="s">
        <v>2943</v>
      </c>
      <c r="D3" s="1" t="s">
        <v>3366</v>
      </c>
      <c r="E3" s="1" t="s">
        <v>3367</v>
      </c>
      <c r="F3" s="1" t="s">
        <v>4864</v>
      </c>
      <c r="G3" s="1" t="s">
        <v>4875</v>
      </c>
      <c r="H3" s="1" t="s">
        <v>4869</v>
      </c>
      <c r="I3" s="1" t="s">
        <v>5010</v>
      </c>
      <c r="J3" s="1" t="s">
        <v>4896</v>
      </c>
      <c r="K3" s="1" t="s">
        <v>4911</v>
      </c>
      <c r="L3" s="1" t="s">
        <v>1483</v>
      </c>
      <c r="M3" s="1" t="s">
        <v>1483</v>
      </c>
      <c r="N3" s="1" t="s">
        <v>1483</v>
      </c>
      <c r="O3" s="1" t="s">
        <v>1483</v>
      </c>
      <c r="P3" s="9"/>
      <c r="Q3" s="1" t="s">
        <v>3368</v>
      </c>
      <c r="R3" s="1" t="s">
        <v>2606</v>
      </c>
      <c r="S3" s="1" t="s">
        <v>3369</v>
      </c>
      <c r="T3" s="11" t="s">
        <v>3370</v>
      </c>
      <c r="U3" s="1" t="s">
        <v>1398</v>
      </c>
      <c r="V3" s="9"/>
      <c r="W3" s="1" t="s">
        <v>3371</v>
      </c>
      <c r="X3" s="1" t="s">
        <v>2606</v>
      </c>
      <c r="Y3" s="1" t="s">
        <v>3372</v>
      </c>
      <c r="Z3" s="1"/>
      <c r="AA3" s="1" t="s">
        <v>1398</v>
      </c>
      <c r="AB3" s="9"/>
      <c r="AC3" s="1" t="s">
        <v>3373</v>
      </c>
      <c r="AD3" s="1" t="s">
        <v>3374</v>
      </c>
      <c r="AE3" s="1" t="s">
        <v>3375</v>
      </c>
      <c r="AF3" s="11" t="s">
        <v>3376</v>
      </c>
      <c r="AG3" s="1" t="s">
        <v>1398</v>
      </c>
      <c r="AI3" s="11" t="s">
        <v>3824</v>
      </c>
    </row>
    <row r="4" spans="1:35" x14ac:dyDescent="0.25">
      <c r="A4" s="1" t="s">
        <v>1062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/>
      <c r="Q4" s="1"/>
      <c r="R4" s="1"/>
      <c r="S4" s="1"/>
      <c r="T4" s="1"/>
      <c r="U4" s="1"/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"/>
    </row>
    <row r="5" spans="1:35" x14ac:dyDescent="0.25">
      <c r="A5" s="1" t="s">
        <v>1063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1"/>
      <c r="R5" s="1"/>
      <c r="S5" s="1"/>
      <c r="T5" s="1"/>
      <c r="U5" s="1"/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"/>
    </row>
    <row r="6" spans="1:35" x14ac:dyDescent="0.25">
      <c r="A6" s="1" t="s">
        <v>1064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  <c r="Q6" s="1"/>
      <c r="R6" s="1"/>
      <c r="S6" s="1"/>
      <c r="T6" s="1"/>
      <c r="U6" s="1"/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"/>
    </row>
    <row r="7" spans="1:35" x14ac:dyDescent="0.25">
      <c r="A7" s="1" t="s">
        <v>1065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1066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1067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1068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1069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1070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1071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1072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1073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1074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1075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1076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1077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1078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1079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1080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1081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1082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1083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1084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1085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1086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1087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1088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1089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1090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1091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1092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1093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1094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1095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1096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1097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1098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1099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1100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1101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1102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1103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1104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1105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1106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1107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1108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1109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SUBTOTAL(103,Tabla26[ARCHIVO])</f>
        <v>2</v>
      </c>
    </row>
  </sheetData>
  <hyperlinks>
    <hyperlink ref="N2" r:id="rId1" xr:uid="{00000000-0004-0000-1600-000000000000}"/>
    <hyperlink ref="T2" r:id="rId2" xr:uid="{00000000-0004-0000-1600-000001000000}"/>
    <hyperlink ref="Z2" r:id="rId3" xr:uid="{00000000-0004-0000-1600-000002000000}"/>
    <hyperlink ref="AI2" r:id="rId4" xr:uid="{00000000-0004-0000-1600-000003000000}"/>
    <hyperlink ref="T3" r:id="rId5" xr:uid="{00000000-0004-0000-1600-000004000000}"/>
    <hyperlink ref="AF3" r:id="rId6" xr:uid="{00000000-0004-0000-1600-000005000000}"/>
    <hyperlink ref="AI3" r:id="rId7" xr:uid="{00000000-0004-0000-1600-000006000000}"/>
  </hyperlinks>
  <pageMargins left="0.7" right="0.7" top="0.75" bottom="0.75" header="0.3" footer="0.3"/>
  <pageSetup paperSize="9" orientation="portrait" r:id="rId8"/>
  <tableParts count="1">
    <tablePart r:id="rId9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6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6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6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6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I52"/>
  <sheetViews>
    <sheetView topLeftCell="Z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5.5703125" bestFit="1" customWidth="1"/>
    <col min="3" max="3" width="20.7109375" bestFit="1" customWidth="1"/>
    <col min="4" max="4" width="42.42578125" bestFit="1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8.42578125" bestFit="1" customWidth="1"/>
    <col min="10" max="10" width="13.5703125" customWidth="1"/>
    <col min="11" max="11" width="22.85546875" bestFit="1" customWidth="1"/>
    <col min="12" max="12" width="28.85546875" customWidth="1"/>
    <col min="13" max="13" width="30.28515625" customWidth="1"/>
    <col min="14" max="14" width="34.85546875" bestFit="1" customWidth="1"/>
    <col min="15" max="15" width="12" bestFit="1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35.5703125" bestFit="1" customWidth="1"/>
    <col min="21" max="21" width="13" bestFit="1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7.7109375" bestFit="1" customWidth="1"/>
    <col min="27" max="27" width="13" customWidth="1"/>
    <col min="28" max="28" width="11.85546875" customWidth="1"/>
    <col min="29" max="29" width="45.42578125" customWidth="1"/>
    <col min="30" max="30" width="33.140625" bestFit="1" customWidth="1"/>
    <col min="31" max="31" width="32.28515625" customWidth="1"/>
    <col min="32" max="32" width="37" bestFit="1" customWidth="1"/>
    <col min="33" max="33" width="13" customWidth="1"/>
    <col min="34" max="34" width="11.85546875" customWidth="1"/>
    <col min="35" max="35" width="58.71093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1110</v>
      </c>
      <c r="B2" s="18" t="s">
        <v>2918</v>
      </c>
      <c r="C2" s="1" t="s">
        <v>1722</v>
      </c>
      <c r="D2" s="1" t="s">
        <v>1721</v>
      </c>
      <c r="E2" s="1" t="s">
        <v>1723</v>
      </c>
      <c r="F2" s="13" t="s">
        <v>4865</v>
      </c>
      <c r="G2" s="37" t="s">
        <v>4874</v>
      </c>
      <c r="H2" s="15" t="s">
        <v>4869</v>
      </c>
      <c r="I2" s="15" t="s">
        <v>4916</v>
      </c>
      <c r="J2" s="15" t="s">
        <v>4896</v>
      </c>
      <c r="K2" s="15" t="s">
        <v>4911</v>
      </c>
      <c r="L2" s="1" t="s">
        <v>1724</v>
      </c>
      <c r="M2" s="1">
        <v>8115050000</v>
      </c>
      <c r="N2" s="11" t="s">
        <v>1725</v>
      </c>
      <c r="O2" s="1">
        <v>55749408906</v>
      </c>
      <c r="P2" s="9"/>
      <c r="Q2" s="1" t="s">
        <v>1723</v>
      </c>
      <c r="R2" s="1" t="s">
        <v>1724</v>
      </c>
      <c r="S2" s="1">
        <v>8115050000</v>
      </c>
      <c r="T2" s="11" t="s">
        <v>1725</v>
      </c>
      <c r="U2" s="1">
        <v>55749408906</v>
      </c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1" t="s">
        <v>1726</v>
      </c>
    </row>
    <row r="3" spans="1:35" x14ac:dyDescent="0.25">
      <c r="A3" s="1" t="s">
        <v>1111</v>
      </c>
      <c r="B3" s="18" t="s">
        <v>3977</v>
      </c>
      <c r="C3" s="1" t="s">
        <v>1727</v>
      </c>
      <c r="D3" s="31" t="s">
        <v>2786</v>
      </c>
      <c r="E3" s="1" t="s">
        <v>1728</v>
      </c>
      <c r="F3" s="1" t="s">
        <v>4864</v>
      </c>
      <c r="G3" s="1" t="s">
        <v>4875</v>
      </c>
      <c r="H3" s="1" t="s">
        <v>4869</v>
      </c>
      <c r="I3" s="1" t="s">
        <v>4923</v>
      </c>
      <c r="J3" s="1" t="s">
        <v>4896</v>
      </c>
      <c r="K3" s="1" t="s">
        <v>4911</v>
      </c>
      <c r="L3" s="1" t="s">
        <v>1729</v>
      </c>
      <c r="M3" s="1" t="s">
        <v>1730</v>
      </c>
      <c r="N3" s="11" t="s">
        <v>1731</v>
      </c>
      <c r="O3" s="1">
        <v>8111552143</v>
      </c>
      <c r="P3" s="9"/>
      <c r="Q3" s="1" t="s">
        <v>1728</v>
      </c>
      <c r="R3" s="1" t="s">
        <v>1729</v>
      </c>
      <c r="S3" s="1" t="s">
        <v>1730</v>
      </c>
      <c r="T3" s="11" t="s">
        <v>1731</v>
      </c>
      <c r="U3" s="1">
        <v>8111552143</v>
      </c>
      <c r="V3" s="9"/>
      <c r="W3" s="1" t="s">
        <v>1732</v>
      </c>
      <c r="X3" s="1" t="s">
        <v>1733</v>
      </c>
      <c r="Y3" s="1" t="s">
        <v>1734</v>
      </c>
      <c r="Z3" s="11" t="s">
        <v>1735</v>
      </c>
      <c r="AA3" s="1">
        <v>8111552143</v>
      </c>
      <c r="AB3" s="9"/>
      <c r="AC3" s="1" t="s">
        <v>1736</v>
      </c>
      <c r="AD3" s="1" t="s">
        <v>1737</v>
      </c>
      <c r="AE3" s="1" t="s">
        <v>1738</v>
      </c>
      <c r="AF3" s="11" t="s">
        <v>1739</v>
      </c>
      <c r="AG3" s="1">
        <v>8111552143</v>
      </c>
      <c r="AI3" s="11" t="s">
        <v>1740</v>
      </c>
    </row>
    <row r="4" spans="1:35" x14ac:dyDescent="0.25">
      <c r="A4" s="1" t="s">
        <v>1112</v>
      </c>
      <c r="B4" s="18" t="s">
        <v>2919</v>
      </c>
      <c r="C4" s="1" t="s">
        <v>2687</v>
      </c>
      <c r="D4" s="1" t="s">
        <v>2686</v>
      </c>
      <c r="E4" s="1" t="s">
        <v>2688</v>
      </c>
      <c r="F4" s="1" t="s">
        <v>4865</v>
      </c>
      <c r="G4" s="1" t="s">
        <v>4872</v>
      </c>
      <c r="H4" s="1" t="s">
        <v>4869</v>
      </c>
      <c r="I4" s="1" t="s">
        <v>4933</v>
      </c>
      <c r="J4" s="1" t="s">
        <v>4896</v>
      </c>
      <c r="K4" s="1" t="s">
        <v>4911</v>
      </c>
      <c r="L4" s="1" t="s">
        <v>2689</v>
      </c>
      <c r="M4" s="1">
        <v>8183708759</v>
      </c>
      <c r="N4" s="11" t="s">
        <v>2690</v>
      </c>
      <c r="O4" s="1">
        <v>8113807888</v>
      </c>
      <c r="P4" s="9"/>
      <c r="Q4" s="1" t="s">
        <v>2688</v>
      </c>
      <c r="R4" s="1" t="s">
        <v>2689</v>
      </c>
      <c r="S4" s="1">
        <v>8183708759</v>
      </c>
      <c r="T4" s="11" t="s">
        <v>2690</v>
      </c>
      <c r="U4" s="1">
        <v>8113807888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2691</v>
      </c>
    </row>
    <row r="5" spans="1:35" x14ac:dyDescent="0.25">
      <c r="A5" s="1" t="s">
        <v>1113</v>
      </c>
      <c r="B5" s="1"/>
      <c r="C5" s="1" t="s">
        <v>2712</v>
      </c>
      <c r="D5" s="1" t="s">
        <v>2692</v>
      </c>
      <c r="E5" s="1" t="s">
        <v>1919</v>
      </c>
      <c r="F5" s="1" t="s">
        <v>4865</v>
      </c>
      <c r="G5" s="1" t="s">
        <v>4873</v>
      </c>
      <c r="H5" s="1" t="s">
        <v>4869</v>
      </c>
      <c r="I5" s="1" t="s">
        <v>4933</v>
      </c>
      <c r="J5" s="1" t="s">
        <v>4896</v>
      </c>
      <c r="K5" s="1" t="s">
        <v>4928</v>
      </c>
      <c r="L5" s="1" t="s">
        <v>2693</v>
      </c>
      <c r="M5" s="1">
        <v>8126823944</v>
      </c>
      <c r="N5" s="11" t="s">
        <v>1920</v>
      </c>
      <c r="O5" s="1">
        <v>8110278517</v>
      </c>
      <c r="P5" s="9"/>
      <c r="Q5" s="1" t="s">
        <v>1919</v>
      </c>
      <c r="R5" s="1" t="s">
        <v>2693</v>
      </c>
      <c r="S5" s="1">
        <v>8126823944</v>
      </c>
      <c r="T5" s="11" t="s">
        <v>1920</v>
      </c>
      <c r="U5" s="1">
        <v>8110278517</v>
      </c>
      <c r="V5" s="9"/>
      <c r="W5" s="1" t="s">
        <v>1921</v>
      </c>
      <c r="X5" s="1" t="s">
        <v>1922</v>
      </c>
      <c r="Y5" s="1">
        <v>8126823944</v>
      </c>
      <c r="Z5" s="11" t="s">
        <v>1923</v>
      </c>
      <c r="AA5" s="1">
        <v>8126411160</v>
      </c>
      <c r="AB5" s="9"/>
      <c r="AC5" s="1" t="s">
        <v>1924</v>
      </c>
      <c r="AD5" s="1" t="s">
        <v>1925</v>
      </c>
      <c r="AE5" s="1">
        <v>8126823944</v>
      </c>
      <c r="AF5" s="11" t="s">
        <v>1926</v>
      </c>
      <c r="AG5" s="1">
        <v>8184656955</v>
      </c>
      <c r="AI5" s="11" t="s">
        <v>2694</v>
      </c>
    </row>
    <row r="6" spans="1:35" x14ac:dyDescent="0.25">
      <c r="A6" s="1" t="s">
        <v>1114</v>
      </c>
      <c r="B6" s="18" t="s">
        <v>2920</v>
      </c>
      <c r="C6" s="1" t="s">
        <v>2301</v>
      </c>
      <c r="D6" s="1" t="s">
        <v>2695</v>
      </c>
      <c r="E6" s="1" t="s">
        <v>2696</v>
      </c>
      <c r="F6" s="1" t="s">
        <v>4865</v>
      </c>
      <c r="G6" s="1" t="s">
        <v>4875</v>
      </c>
      <c r="H6" s="1" t="s">
        <v>4869</v>
      </c>
      <c r="I6" s="1" t="s">
        <v>4920</v>
      </c>
      <c r="J6" s="1" t="s">
        <v>4896</v>
      </c>
      <c r="K6" s="1" t="s">
        <v>4946</v>
      </c>
      <c r="L6" s="1" t="s">
        <v>2697</v>
      </c>
      <c r="M6" s="1">
        <v>8115146398</v>
      </c>
      <c r="N6" s="11" t="s">
        <v>2698</v>
      </c>
      <c r="O6" s="1">
        <v>8115146398</v>
      </c>
      <c r="P6" s="9"/>
      <c r="Q6" s="1" t="s">
        <v>2696</v>
      </c>
      <c r="R6" s="1" t="s">
        <v>2697</v>
      </c>
      <c r="S6" s="1">
        <v>8115146398</v>
      </c>
      <c r="T6" s="11" t="s">
        <v>2698</v>
      </c>
      <c r="U6" s="1">
        <v>8115146398</v>
      </c>
      <c r="V6" s="9"/>
      <c r="W6" s="1" t="s">
        <v>2699</v>
      </c>
      <c r="X6" s="1" t="s">
        <v>2700</v>
      </c>
      <c r="Y6" s="1">
        <v>8134036361</v>
      </c>
      <c r="Z6" s="11" t="s">
        <v>2701</v>
      </c>
      <c r="AA6" s="1">
        <v>8134036361</v>
      </c>
      <c r="AB6" s="9"/>
      <c r="AC6" s="1" t="s">
        <v>2702</v>
      </c>
      <c r="AD6" s="1" t="s">
        <v>2703</v>
      </c>
      <c r="AE6" s="1">
        <v>811553826</v>
      </c>
      <c r="AF6" s="11" t="s">
        <v>2704</v>
      </c>
      <c r="AG6" s="1">
        <v>811553826</v>
      </c>
      <c r="AI6" s="11" t="s">
        <v>2705</v>
      </c>
    </row>
    <row r="7" spans="1:35" x14ac:dyDescent="0.25">
      <c r="A7" s="1" t="s">
        <v>1115</v>
      </c>
      <c r="B7" s="1"/>
      <c r="C7" s="1" t="s">
        <v>2264</v>
      </c>
      <c r="D7" s="1" t="s">
        <v>2706</v>
      </c>
      <c r="E7" s="1" t="s">
        <v>2707</v>
      </c>
      <c r="F7" s="1" t="s">
        <v>4865</v>
      </c>
      <c r="G7" s="1" t="s">
        <v>4875</v>
      </c>
      <c r="H7" s="1" t="s">
        <v>4869</v>
      </c>
      <c r="I7" s="1" t="s">
        <v>4920</v>
      </c>
      <c r="J7" s="1" t="s">
        <v>4896</v>
      </c>
      <c r="K7" s="1" t="s">
        <v>4911</v>
      </c>
      <c r="L7" s="1" t="s">
        <v>2708</v>
      </c>
      <c r="M7" s="1">
        <v>8123193335</v>
      </c>
      <c r="N7" s="11" t="s">
        <v>2709</v>
      </c>
      <c r="O7" s="1">
        <v>8123193335</v>
      </c>
      <c r="P7" s="9"/>
      <c r="Q7" s="1" t="s">
        <v>2707</v>
      </c>
      <c r="R7" s="1" t="s">
        <v>2708</v>
      </c>
      <c r="S7" s="1">
        <v>8123193335</v>
      </c>
      <c r="T7" s="11" t="s">
        <v>2709</v>
      </c>
      <c r="U7" s="1">
        <v>8123193335</v>
      </c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1" t="s">
        <v>2710</v>
      </c>
    </row>
    <row r="8" spans="1:35" x14ac:dyDescent="0.25">
      <c r="A8" s="1" t="s">
        <v>1116</v>
      </c>
      <c r="B8" s="18" t="s">
        <v>2921</v>
      </c>
      <c r="C8" s="1" t="s">
        <v>2622</v>
      </c>
      <c r="D8" s="1" t="s">
        <v>2711</v>
      </c>
      <c r="E8" s="1" t="s">
        <v>2713</v>
      </c>
      <c r="F8" s="1" t="s">
        <v>4865</v>
      </c>
      <c r="G8" s="1" t="s">
        <v>4873</v>
      </c>
      <c r="H8" s="1" t="s">
        <v>4869</v>
      </c>
      <c r="I8" s="1" t="s">
        <v>4933</v>
      </c>
      <c r="J8" s="1" t="s">
        <v>4896</v>
      </c>
      <c r="K8" s="1" t="s">
        <v>4911</v>
      </c>
      <c r="L8" s="1" t="s">
        <v>1511</v>
      </c>
      <c r="M8" s="1">
        <v>8186585336</v>
      </c>
      <c r="N8" s="11" t="s">
        <v>2714</v>
      </c>
      <c r="O8" s="1">
        <v>8186585336</v>
      </c>
      <c r="P8" s="9"/>
      <c r="Q8" s="1" t="s">
        <v>2715</v>
      </c>
      <c r="R8" s="1" t="s">
        <v>1482</v>
      </c>
      <c r="S8" s="1">
        <v>8116308909</v>
      </c>
      <c r="T8" s="11" t="s">
        <v>2716</v>
      </c>
      <c r="U8" s="1">
        <v>8116308909</v>
      </c>
      <c r="V8" s="9"/>
      <c r="W8" s="1" t="s">
        <v>2717</v>
      </c>
      <c r="X8" s="1" t="s">
        <v>1989</v>
      </c>
      <c r="Y8" s="1">
        <v>8115382621</v>
      </c>
      <c r="Z8" s="11" t="s">
        <v>2718</v>
      </c>
      <c r="AA8" s="1">
        <v>8115382621</v>
      </c>
      <c r="AB8" s="9"/>
      <c r="AC8" s="1" t="s">
        <v>2713</v>
      </c>
      <c r="AD8" s="1" t="s">
        <v>1511</v>
      </c>
      <c r="AE8" s="1">
        <v>8186585336</v>
      </c>
      <c r="AF8" s="11" t="s">
        <v>2714</v>
      </c>
      <c r="AG8" s="1">
        <v>8186585336</v>
      </c>
      <c r="AI8" s="11" t="s">
        <v>2719</v>
      </c>
    </row>
    <row r="9" spans="1:35" x14ac:dyDescent="0.25">
      <c r="A9" s="1" t="s">
        <v>1117</v>
      </c>
      <c r="B9" s="18" t="s">
        <v>2922</v>
      </c>
      <c r="C9" s="1" t="s">
        <v>2301</v>
      </c>
      <c r="D9" s="1" t="s">
        <v>2720</v>
      </c>
      <c r="E9" s="1" t="s">
        <v>2721</v>
      </c>
      <c r="F9" s="1" t="s">
        <v>4865</v>
      </c>
      <c r="G9" s="1" t="s">
        <v>4873</v>
      </c>
      <c r="H9" s="1" t="s">
        <v>4869</v>
      </c>
      <c r="I9" s="1" t="s">
        <v>4957</v>
      </c>
      <c r="J9" s="1" t="s">
        <v>4896</v>
      </c>
      <c r="K9" s="1" t="s">
        <v>4911</v>
      </c>
      <c r="L9" s="1" t="s">
        <v>1778</v>
      </c>
      <c r="M9" s="1">
        <v>8115322838</v>
      </c>
      <c r="N9" s="11" t="s">
        <v>2722</v>
      </c>
      <c r="O9" s="1">
        <v>8115322838</v>
      </c>
      <c r="P9" s="9"/>
      <c r="Q9" s="1" t="s">
        <v>2723</v>
      </c>
      <c r="R9" s="1" t="s">
        <v>2724</v>
      </c>
      <c r="S9" s="1">
        <v>8115385948</v>
      </c>
      <c r="T9" s="11" t="s">
        <v>2725</v>
      </c>
      <c r="U9" s="1">
        <v>8115385948</v>
      </c>
      <c r="V9" s="9"/>
      <c r="W9" s="1" t="s">
        <v>2721</v>
      </c>
      <c r="X9" s="1" t="s">
        <v>1778</v>
      </c>
      <c r="Y9" s="1">
        <v>8115322838</v>
      </c>
      <c r="Z9" s="11" t="s">
        <v>2722</v>
      </c>
      <c r="AA9" s="1">
        <v>8115322838</v>
      </c>
      <c r="AB9" s="9"/>
      <c r="AC9" s="1" t="s">
        <v>2726</v>
      </c>
      <c r="AD9" s="1" t="s">
        <v>2727</v>
      </c>
      <c r="AE9" s="1">
        <v>8112555242</v>
      </c>
      <c r="AF9" s="11" t="s">
        <v>2728</v>
      </c>
      <c r="AG9" s="1">
        <v>8112555242</v>
      </c>
      <c r="AI9" s="11" t="s">
        <v>2729</v>
      </c>
    </row>
    <row r="10" spans="1:35" x14ac:dyDescent="0.25">
      <c r="A10" s="1" t="s">
        <v>1118</v>
      </c>
      <c r="B10" s="18" t="s">
        <v>2920</v>
      </c>
      <c r="C10" s="1" t="s">
        <v>2301</v>
      </c>
      <c r="D10" s="1" t="s">
        <v>2695</v>
      </c>
      <c r="E10" s="1" t="s">
        <v>2696</v>
      </c>
      <c r="F10" s="1" t="s">
        <v>4865</v>
      </c>
      <c r="G10" s="1" t="s">
        <v>4875</v>
      </c>
      <c r="H10" s="1" t="s">
        <v>4869</v>
      </c>
      <c r="I10" s="1" t="s">
        <v>4920</v>
      </c>
      <c r="J10" s="1" t="s">
        <v>4896</v>
      </c>
      <c r="K10" s="1" t="s">
        <v>4946</v>
      </c>
      <c r="L10" s="1" t="s">
        <v>2697</v>
      </c>
      <c r="M10" s="1">
        <v>8115146398</v>
      </c>
      <c r="N10" s="11" t="s">
        <v>2698</v>
      </c>
      <c r="O10" s="1">
        <v>8115146398</v>
      </c>
      <c r="P10" s="9"/>
      <c r="Q10" s="1" t="s">
        <v>2696</v>
      </c>
      <c r="R10" s="1" t="s">
        <v>2697</v>
      </c>
      <c r="S10" s="1">
        <v>8115146398</v>
      </c>
      <c r="T10" s="11" t="s">
        <v>2698</v>
      </c>
      <c r="U10" s="1">
        <v>8115146398</v>
      </c>
      <c r="V10" s="9"/>
      <c r="W10" s="1" t="s">
        <v>2699</v>
      </c>
      <c r="X10" s="1" t="s">
        <v>2700</v>
      </c>
      <c r="Y10" s="1">
        <v>8134036361</v>
      </c>
      <c r="Z10" s="11" t="s">
        <v>2701</v>
      </c>
      <c r="AA10" s="1">
        <v>8134036361</v>
      </c>
      <c r="AB10" s="9"/>
      <c r="AC10" s="1" t="s">
        <v>2702</v>
      </c>
      <c r="AD10" s="1" t="s">
        <v>2703</v>
      </c>
      <c r="AE10" s="1">
        <v>811553826</v>
      </c>
      <c r="AF10" s="11" t="s">
        <v>2704</v>
      </c>
      <c r="AG10" s="1">
        <v>811553826</v>
      </c>
      <c r="AI10" s="11" t="s">
        <v>3825</v>
      </c>
    </row>
    <row r="11" spans="1:35" x14ac:dyDescent="0.25">
      <c r="A11" s="1" t="s">
        <v>1119</v>
      </c>
      <c r="B11" s="18" t="s">
        <v>3975</v>
      </c>
      <c r="C11" s="1" t="s">
        <v>3377</v>
      </c>
      <c r="D11" s="1" t="s">
        <v>3976</v>
      </c>
      <c r="E11" s="1" t="s">
        <v>3378</v>
      </c>
      <c r="F11" s="1" t="s">
        <v>4864</v>
      </c>
      <c r="G11" s="1" t="s">
        <v>4874</v>
      </c>
      <c r="H11" s="1" t="s">
        <v>4869</v>
      </c>
      <c r="I11" s="1" t="s">
        <v>4926</v>
      </c>
      <c r="J11" s="1" t="s">
        <v>4896</v>
      </c>
      <c r="K11" s="1" t="s">
        <v>4911</v>
      </c>
      <c r="L11" s="1" t="s">
        <v>1383</v>
      </c>
      <c r="M11" s="1">
        <v>8117914932</v>
      </c>
      <c r="N11" s="11" t="s">
        <v>3379</v>
      </c>
      <c r="O11" s="1">
        <v>8117914932</v>
      </c>
      <c r="P11" s="9"/>
      <c r="Q11" s="1" t="s">
        <v>3378</v>
      </c>
      <c r="R11" s="1" t="s">
        <v>1383</v>
      </c>
      <c r="S11" s="1">
        <v>8117914932</v>
      </c>
      <c r="T11" s="11" t="s">
        <v>3379</v>
      </c>
      <c r="U11" s="1">
        <v>8117914932</v>
      </c>
      <c r="V11" s="9"/>
      <c r="W11" s="1" t="s">
        <v>3380</v>
      </c>
      <c r="X11" s="1" t="s">
        <v>2727</v>
      </c>
      <c r="Y11" s="1">
        <v>8125354277</v>
      </c>
      <c r="Z11" s="11" t="s">
        <v>3381</v>
      </c>
      <c r="AA11" s="1">
        <v>8125354277</v>
      </c>
      <c r="AB11" s="9"/>
      <c r="AC11" s="1"/>
      <c r="AD11" s="1"/>
      <c r="AE11" s="1"/>
      <c r="AF11" s="1"/>
      <c r="AG11" s="1"/>
      <c r="AI11" s="11" t="s">
        <v>3826</v>
      </c>
    </row>
    <row r="12" spans="1:35" x14ac:dyDescent="0.25">
      <c r="A12" s="1" t="s">
        <v>1120</v>
      </c>
      <c r="B12" s="1"/>
      <c r="C12" s="1" t="s">
        <v>3377</v>
      </c>
      <c r="D12" s="1" t="s">
        <v>3382</v>
      </c>
      <c r="E12" s="1" t="s">
        <v>3378</v>
      </c>
      <c r="F12" s="1" t="s">
        <v>4864</v>
      </c>
      <c r="G12" s="1" t="s">
        <v>4875</v>
      </c>
      <c r="H12" s="1" t="s">
        <v>4869</v>
      </c>
      <c r="I12" s="1" t="s">
        <v>4956</v>
      </c>
      <c r="J12" s="1" t="s">
        <v>4896</v>
      </c>
      <c r="K12" s="1" t="s">
        <v>4911</v>
      </c>
      <c r="L12" s="1" t="s">
        <v>1383</v>
      </c>
      <c r="M12" s="1">
        <v>8117914932</v>
      </c>
      <c r="N12" s="11" t="s">
        <v>3379</v>
      </c>
      <c r="O12" s="1">
        <v>8117914932</v>
      </c>
      <c r="P12" s="9"/>
      <c r="Q12" s="1" t="s">
        <v>3378</v>
      </c>
      <c r="R12" s="1" t="s">
        <v>1383</v>
      </c>
      <c r="S12" s="1">
        <v>8117914932</v>
      </c>
      <c r="T12" s="11" t="s">
        <v>3379</v>
      </c>
      <c r="U12" s="1">
        <v>8117914932</v>
      </c>
      <c r="V12" s="9"/>
      <c r="W12" s="1" t="s">
        <v>3380</v>
      </c>
      <c r="X12" s="1" t="s">
        <v>2727</v>
      </c>
      <c r="Y12" s="1">
        <v>8125354277</v>
      </c>
      <c r="Z12" s="11" t="s">
        <v>3381</v>
      </c>
      <c r="AA12" s="1">
        <v>8125354277</v>
      </c>
      <c r="AB12" s="9"/>
      <c r="AC12" s="1"/>
      <c r="AD12" s="1"/>
      <c r="AE12" s="1"/>
      <c r="AF12" s="1"/>
      <c r="AG12" s="1"/>
      <c r="AI12" s="11" t="s">
        <v>3827</v>
      </c>
    </row>
    <row r="13" spans="1:35" x14ac:dyDescent="0.25">
      <c r="A13" s="1" t="s">
        <v>1121</v>
      </c>
      <c r="B13" s="1"/>
      <c r="C13" s="1" t="s">
        <v>3080</v>
      </c>
      <c r="D13" s="1" t="s">
        <v>3383</v>
      </c>
      <c r="E13" s="1" t="s">
        <v>1483</v>
      </c>
      <c r="F13" s="1" t="s">
        <v>4863</v>
      </c>
      <c r="G13" s="1" t="s">
        <v>4873</v>
      </c>
      <c r="H13" s="1" t="s">
        <v>4869</v>
      </c>
      <c r="I13" s="1" t="s">
        <v>4949</v>
      </c>
      <c r="J13" s="1" t="s">
        <v>4896</v>
      </c>
      <c r="K13" s="1" t="s">
        <v>4911</v>
      </c>
      <c r="L13" s="1" t="s">
        <v>1483</v>
      </c>
      <c r="M13" s="1" t="s">
        <v>1483</v>
      </c>
      <c r="N13" s="1" t="s">
        <v>1483</v>
      </c>
      <c r="O13" s="1" t="s">
        <v>1483</v>
      </c>
      <c r="P13" s="9"/>
      <c r="Q13" s="1" t="s">
        <v>3384</v>
      </c>
      <c r="R13" s="1" t="s">
        <v>1482</v>
      </c>
      <c r="S13" s="1">
        <v>8134552998</v>
      </c>
      <c r="T13" s="11" t="s">
        <v>3385</v>
      </c>
      <c r="U13" s="1">
        <v>8134552998</v>
      </c>
      <c r="V13" s="9"/>
      <c r="W13" s="1" t="s">
        <v>3386</v>
      </c>
      <c r="X13" s="1" t="s">
        <v>1874</v>
      </c>
      <c r="Y13" s="1">
        <v>8180764347</v>
      </c>
      <c r="Z13" s="11" t="s">
        <v>3387</v>
      </c>
      <c r="AA13" s="1">
        <v>8180764347</v>
      </c>
      <c r="AB13" s="9"/>
      <c r="AC13" s="1" t="s">
        <v>3388</v>
      </c>
      <c r="AD13" s="1" t="s">
        <v>3389</v>
      </c>
      <c r="AE13" s="1">
        <v>8112442661</v>
      </c>
      <c r="AF13" s="11" t="s">
        <v>3390</v>
      </c>
      <c r="AG13" s="1">
        <v>8112492661</v>
      </c>
      <c r="AI13" s="11" t="s">
        <v>3828</v>
      </c>
    </row>
    <row r="14" spans="1:35" x14ac:dyDescent="0.25">
      <c r="A14" s="1" t="s">
        <v>1122</v>
      </c>
      <c r="B14" s="18" t="s">
        <v>3974</v>
      </c>
      <c r="C14" s="1" t="s">
        <v>3053</v>
      </c>
      <c r="D14" s="1" t="s">
        <v>3398</v>
      </c>
      <c r="E14" s="1" t="s">
        <v>3391</v>
      </c>
      <c r="F14" s="1" t="s">
        <v>4865</v>
      </c>
      <c r="G14" s="1" t="s">
        <v>4873</v>
      </c>
      <c r="H14" s="1" t="s">
        <v>4869</v>
      </c>
      <c r="I14" s="1" t="s">
        <v>5153</v>
      </c>
      <c r="J14" s="1" t="s">
        <v>4896</v>
      </c>
      <c r="K14" s="1" t="s">
        <v>4911</v>
      </c>
      <c r="L14" s="1" t="s">
        <v>1405</v>
      </c>
      <c r="M14" s="1">
        <v>8123505822</v>
      </c>
      <c r="N14" s="11" t="s">
        <v>3392</v>
      </c>
      <c r="O14" s="1">
        <v>8123505822</v>
      </c>
      <c r="P14" s="9"/>
      <c r="Q14" s="1" t="s">
        <v>3391</v>
      </c>
      <c r="R14" s="1" t="s">
        <v>1405</v>
      </c>
      <c r="S14" s="1">
        <v>8123505822</v>
      </c>
      <c r="T14" s="11" t="s">
        <v>3392</v>
      </c>
      <c r="U14" s="1">
        <v>8123505822</v>
      </c>
      <c r="V14" s="9"/>
      <c r="W14" s="1" t="s">
        <v>3393</v>
      </c>
      <c r="X14" s="1" t="s">
        <v>3394</v>
      </c>
      <c r="Y14" s="1">
        <v>8110217905</v>
      </c>
      <c r="Z14" s="11" t="s">
        <v>3395</v>
      </c>
      <c r="AA14" s="1">
        <v>8110217905</v>
      </c>
      <c r="AB14" s="9"/>
      <c r="AC14" s="1" t="s">
        <v>3396</v>
      </c>
      <c r="AD14" s="1" t="s">
        <v>3327</v>
      </c>
      <c r="AE14" s="1">
        <v>8126093477</v>
      </c>
      <c r="AF14" s="11" t="s">
        <v>3397</v>
      </c>
      <c r="AG14" s="1">
        <v>8126093477</v>
      </c>
      <c r="AI14" s="11" t="s">
        <v>3829</v>
      </c>
    </row>
    <row r="15" spans="1:35" x14ac:dyDescent="0.25">
      <c r="A15" s="1" t="s">
        <v>1123</v>
      </c>
      <c r="B15" s="18" t="s">
        <v>3973</v>
      </c>
      <c r="C15" s="21" t="s">
        <v>3284</v>
      </c>
      <c r="D15" s="21" t="s">
        <v>3713</v>
      </c>
      <c r="E15" s="21" t="s">
        <v>3714</v>
      </c>
      <c r="F15" s="21" t="s">
        <v>4867</v>
      </c>
      <c r="G15" s="21" t="s">
        <v>4875</v>
      </c>
      <c r="H15" s="21" t="s">
        <v>4869</v>
      </c>
      <c r="I15" s="21" t="s">
        <v>4920</v>
      </c>
      <c r="J15" s="21" t="s">
        <v>4896</v>
      </c>
      <c r="K15" s="21" t="s">
        <v>4924</v>
      </c>
      <c r="L15" s="21" t="s">
        <v>1724</v>
      </c>
      <c r="M15" s="21">
        <v>8120291637</v>
      </c>
      <c r="N15" s="22" t="s">
        <v>3715</v>
      </c>
      <c r="O15" s="21">
        <v>8120291637</v>
      </c>
      <c r="P15" s="9"/>
      <c r="Q15" s="21" t="s">
        <v>3716</v>
      </c>
      <c r="R15" s="21" t="s">
        <v>3717</v>
      </c>
      <c r="S15" s="21">
        <v>8140138969</v>
      </c>
      <c r="T15" s="22" t="s">
        <v>3718</v>
      </c>
      <c r="U15" s="21">
        <v>8140138969</v>
      </c>
      <c r="V15" s="9"/>
      <c r="W15" s="21" t="s">
        <v>3714</v>
      </c>
      <c r="X15" s="21" t="s">
        <v>1724</v>
      </c>
      <c r="Y15" s="21">
        <v>8120291637</v>
      </c>
      <c r="Z15" s="22" t="s">
        <v>3715</v>
      </c>
      <c r="AA15" s="21">
        <v>8120291637</v>
      </c>
      <c r="AB15" s="9"/>
      <c r="AC15" s="21" t="s">
        <v>3719</v>
      </c>
      <c r="AD15" s="21" t="s">
        <v>3720</v>
      </c>
      <c r="AE15" s="21">
        <v>8111767323</v>
      </c>
      <c r="AF15" s="22" t="s">
        <v>3721</v>
      </c>
      <c r="AG15" s="21">
        <v>8111767323</v>
      </c>
      <c r="AI15" s="22" t="s">
        <v>3830</v>
      </c>
    </row>
    <row r="16" spans="1:35" x14ac:dyDescent="0.25">
      <c r="A16" s="1" t="s">
        <v>1124</v>
      </c>
      <c r="B16" s="1"/>
      <c r="C16" s="1" t="s">
        <v>4192</v>
      </c>
      <c r="D16" s="1" t="s">
        <v>4191</v>
      </c>
      <c r="E16" s="1" t="s">
        <v>4193</v>
      </c>
      <c r="F16" s="1" t="s">
        <v>4863</v>
      </c>
      <c r="G16" s="1" t="s">
        <v>4872</v>
      </c>
      <c r="H16" s="1" t="s">
        <v>4869</v>
      </c>
      <c r="I16" s="1" t="s">
        <v>4933</v>
      </c>
      <c r="J16" s="1" t="s">
        <v>4896</v>
      </c>
      <c r="K16" s="1" t="s">
        <v>4911</v>
      </c>
      <c r="L16" s="1" t="s">
        <v>3473</v>
      </c>
      <c r="M16" s="1">
        <v>8112657772</v>
      </c>
      <c r="N16" s="11" t="s">
        <v>4194</v>
      </c>
      <c r="O16" s="1">
        <v>8112657772</v>
      </c>
      <c r="P16" s="1"/>
      <c r="Q16" s="1" t="s">
        <v>4193</v>
      </c>
      <c r="R16" s="1" t="s">
        <v>4195</v>
      </c>
      <c r="S16" s="1">
        <v>8112657772</v>
      </c>
      <c r="T16" s="11" t="s">
        <v>4194</v>
      </c>
      <c r="U16" s="1">
        <v>8112657772</v>
      </c>
      <c r="V16" s="1"/>
      <c r="W16" s="1" t="s">
        <v>4196</v>
      </c>
      <c r="X16" s="1" t="s">
        <v>1383</v>
      </c>
      <c r="Y16" s="1">
        <v>8112770709</v>
      </c>
      <c r="Z16" s="11" t="s">
        <v>4197</v>
      </c>
      <c r="AA16" s="1">
        <v>8112770709</v>
      </c>
      <c r="AB16" s="1"/>
      <c r="AC16" s="1"/>
      <c r="AD16" s="1"/>
      <c r="AE16" s="1"/>
      <c r="AF16" s="1"/>
      <c r="AG16" s="1"/>
      <c r="AH16" s="1"/>
      <c r="AI16" s="11" t="s">
        <v>4198</v>
      </c>
    </row>
    <row r="17" spans="1:35" x14ac:dyDescent="0.25">
      <c r="A17" s="1" t="s">
        <v>1125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9"/>
      <c r="Q17" s="23"/>
      <c r="R17" s="23"/>
      <c r="S17" s="23"/>
      <c r="T17" s="23"/>
      <c r="U17" s="23"/>
      <c r="V17" s="9"/>
      <c r="W17" s="23"/>
      <c r="X17" s="23"/>
      <c r="Y17" s="23"/>
      <c r="Z17" s="23"/>
      <c r="AA17" s="23"/>
      <c r="AB17" s="9"/>
      <c r="AC17" s="23"/>
      <c r="AD17" s="23"/>
      <c r="AE17" s="23"/>
      <c r="AF17" s="23"/>
      <c r="AG17" s="23"/>
      <c r="AI17" s="23"/>
    </row>
    <row r="18" spans="1:35" x14ac:dyDescent="0.25">
      <c r="A18" s="1" t="s">
        <v>1126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1127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1128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1129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1130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1131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1132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1133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1134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1135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1136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1137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1138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1139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1140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1141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1142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1143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1144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1145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1146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1147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1148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1149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1150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1151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1152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1153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1154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1155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1156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1157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1158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1159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SUBTOTAL(103,Tabla27[ARCHIVO])</f>
        <v>15</v>
      </c>
    </row>
  </sheetData>
  <hyperlinks>
    <hyperlink ref="N2" r:id="rId1" xr:uid="{00000000-0004-0000-1700-000000000000}"/>
    <hyperlink ref="T2" r:id="rId2" xr:uid="{00000000-0004-0000-1700-000001000000}"/>
    <hyperlink ref="AI2" r:id="rId3" xr:uid="{00000000-0004-0000-1700-000002000000}"/>
    <hyperlink ref="N3" r:id="rId4" xr:uid="{00000000-0004-0000-1700-000003000000}"/>
    <hyperlink ref="T3" r:id="rId5" xr:uid="{00000000-0004-0000-1700-000004000000}"/>
    <hyperlink ref="Z3" r:id="rId6" xr:uid="{00000000-0004-0000-1700-000005000000}"/>
    <hyperlink ref="AF3" r:id="rId7" xr:uid="{00000000-0004-0000-1700-000006000000}"/>
    <hyperlink ref="AI3" r:id="rId8" xr:uid="{00000000-0004-0000-1700-000007000000}"/>
    <hyperlink ref="N4" r:id="rId9" xr:uid="{00000000-0004-0000-1700-000008000000}"/>
    <hyperlink ref="AI4" r:id="rId10" xr:uid="{00000000-0004-0000-1700-000009000000}"/>
    <hyperlink ref="N5" r:id="rId11" xr:uid="{00000000-0004-0000-1700-00000A000000}"/>
    <hyperlink ref="Z5" r:id="rId12" xr:uid="{00000000-0004-0000-1700-00000B000000}"/>
    <hyperlink ref="T5" r:id="rId13" xr:uid="{00000000-0004-0000-1700-00000C000000}"/>
    <hyperlink ref="AF5" r:id="rId14" xr:uid="{00000000-0004-0000-1700-00000D000000}"/>
    <hyperlink ref="AI5" r:id="rId15" xr:uid="{00000000-0004-0000-1700-00000E000000}"/>
    <hyperlink ref="N6" r:id="rId16" xr:uid="{00000000-0004-0000-1700-00000F000000}"/>
    <hyperlink ref="T6" r:id="rId17" xr:uid="{00000000-0004-0000-1700-000010000000}"/>
    <hyperlink ref="Z6" r:id="rId18" xr:uid="{00000000-0004-0000-1700-000011000000}"/>
    <hyperlink ref="AF6" r:id="rId19" xr:uid="{00000000-0004-0000-1700-000012000000}"/>
    <hyperlink ref="AI6" r:id="rId20" xr:uid="{00000000-0004-0000-1700-000013000000}"/>
    <hyperlink ref="N7" r:id="rId21" xr:uid="{00000000-0004-0000-1700-000014000000}"/>
    <hyperlink ref="AI7" r:id="rId22" xr:uid="{00000000-0004-0000-1700-000015000000}"/>
    <hyperlink ref="N8" r:id="rId23" xr:uid="{00000000-0004-0000-1700-000016000000}"/>
    <hyperlink ref="T8" r:id="rId24" xr:uid="{00000000-0004-0000-1700-000017000000}"/>
    <hyperlink ref="Z8" r:id="rId25" xr:uid="{00000000-0004-0000-1700-000018000000}"/>
    <hyperlink ref="AF8" r:id="rId26" xr:uid="{00000000-0004-0000-1700-000019000000}"/>
    <hyperlink ref="AI8" r:id="rId27" xr:uid="{00000000-0004-0000-1700-00001A000000}"/>
    <hyperlink ref="N9" r:id="rId28" xr:uid="{00000000-0004-0000-1700-00001B000000}"/>
    <hyperlink ref="T9" r:id="rId29" xr:uid="{00000000-0004-0000-1700-00001C000000}"/>
    <hyperlink ref="Z9" r:id="rId30" xr:uid="{00000000-0004-0000-1700-00001D000000}"/>
    <hyperlink ref="AF9" r:id="rId31" xr:uid="{00000000-0004-0000-1700-00001E000000}"/>
    <hyperlink ref="AI9" r:id="rId32" xr:uid="{00000000-0004-0000-1700-00001F000000}"/>
    <hyperlink ref="N10" r:id="rId33" xr:uid="{00000000-0004-0000-1700-000020000000}"/>
    <hyperlink ref="T10" r:id="rId34" xr:uid="{00000000-0004-0000-1700-000021000000}"/>
    <hyperlink ref="Z10" r:id="rId35" xr:uid="{00000000-0004-0000-1700-000022000000}"/>
    <hyperlink ref="AF10" r:id="rId36" xr:uid="{00000000-0004-0000-1700-000023000000}"/>
    <hyperlink ref="N11" r:id="rId37" xr:uid="{00000000-0004-0000-1700-000024000000}"/>
    <hyperlink ref="T11" r:id="rId38" xr:uid="{00000000-0004-0000-1700-000025000000}"/>
    <hyperlink ref="Z11" r:id="rId39" xr:uid="{00000000-0004-0000-1700-000026000000}"/>
    <hyperlink ref="N12" r:id="rId40" xr:uid="{00000000-0004-0000-1700-000027000000}"/>
    <hyperlink ref="T12" r:id="rId41" xr:uid="{00000000-0004-0000-1700-000028000000}"/>
    <hyperlink ref="Z12" r:id="rId42" xr:uid="{00000000-0004-0000-1700-000029000000}"/>
    <hyperlink ref="T13" r:id="rId43" xr:uid="{00000000-0004-0000-1700-00002A000000}"/>
    <hyperlink ref="Z13" r:id="rId44" xr:uid="{00000000-0004-0000-1700-00002B000000}"/>
    <hyperlink ref="AF13" r:id="rId45" xr:uid="{00000000-0004-0000-1700-00002C000000}"/>
    <hyperlink ref="N14" r:id="rId46" xr:uid="{00000000-0004-0000-1700-00002D000000}"/>
    <hyperlink ref="Z14" r:id="rId47" xr:uid="{00000000-0004-0000-1700-00002E000000}"/>
    <hyperlink ref="T14" r:id="rId48" xr:uid="{00000000-0004-0000-1700-00002F000000}"/>
    <hyperlink ref="AF14" r:id="rId49" xr:uid="{00000000-0004-0000-1700-000030000000}"/>
    <hyperlink ref="N15" r:id="rId50" xr:uid="{00000000-0004-0000-1700-000031000000}"/>
    <hyperlink ref="Z15" r:id="rId51" xr:uid="{00000000-0004-0000-1700-000032000000}"/>
    <hyperlink ref="T15" r:id="rId52" xr:uid="{00000000-0004-0000-1700-000033000000}"/>
    <hyperlink ref="AF15" r:id="rId53" xr:uid="{00000000-0004-0000-1700-000034000000}"/>
    <hyperlink ref="AI10" r:id="rId54" xr:uid="{00000000-0004-0000-1700-000035000000}"/>
    <hyperlink ref="AI11" r:id="rId55" xr:uid="{00000000-0004-0000-1700-000036000000}"/>
    <hyperlink ref="AI12" r:id="rId56" xr:uid="{00000000-0004-0000-1700-000037000000}"/>
    <hyperlink ref="AI13" r:id="rId57" xr:uid="{00000000-0004-0000-1700-000038000000}"/>
    <hyperlink ref="AI14" r:id="rId58" xr:uid="{00000000-0004-0000-1700-000039000000}"/>
    <hyperlink ref="AI15" r:id="rId59" xr:uid="{00000000-0004-0000-1700-00003A000000}"/>
    <hyperlink ref="T4" r:id="rId60" xr:uid="{00000000-0004-0000-1700-00003B000000}"/>
    <hyperlink ref="T7" r:id="rId61" xr:uid="{00000000-0004-0000-1700-00003C000000}"/>
    <hyperlink ref="N16" r:id="rId62" xr:uid="{00000000-0004-0000-1700-00003D000000}"/>
    <hyperlink ref="T16" r:id="rId63" xr:uid="{00000000-0004-0000-1700-00003E000000}"/>
    <hyperlink ref="Z16" r:id="rId64" xr:uid="{00000000-0004-0000-1700-00003F000000}"/>
    <hyperlink ref="AI16" r:id="rId65" xr:uid="{00000000-0004-0000-1700-000040000000}"/>
  </hyperlinks>
  <pageMargins left="0.7" right="0.7" top="0.75" bottom="0.75" header="0.3" footer="0.3"/>
  <pageSetup paperSize="9" orientation="portrait" r:id="rId66"/>
  <tableParts count="1">
    <tablePart r:id="rId6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7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7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7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7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I52"/>
  <sheetViews>
    <sheetView topLeftCell="Y25" zoomScale="70" zoomScaleNormal="70" workbookViewId="0">
      <selection sqref="A1:AI51"/>
    </sheetView>
  </sheetViews>
  <sheetFormatPr baseColWidth="10" defaultRowHeight="15" x14ac:dyDescent="0.25"/>
  <cols>
    <col min="1" max="1" width="9" customWidth="1"/>
    <col min="2" max="2" width="16.140625" customWidth="1"/>
    <col min="3" max="3" width="20.140625" bestFit="1" customWidth="1"/>
    <col min="4" max="4" width="32.42578125" bestFit="1" customWidth="1"/>
    <col min="5" max="5" width="71.85546875" customWidth="1"/>
    <col min="6" max="6" width="35.140625" customWidth="1"/>
    <col min="7" max="7" width="23.140625" bestFit="1" customWidth="1"/>
    <col min="8" max="8" width="13.5703125" customWidth="1"/>
    <col min="9" max="9" width="15.28515625" bestFit="1" customWidth="1"/>
    <col min="10" max="10" width="13.5703125" customWidth="1"/>
    <col min="11" max="11" width="13.7109375" customWidth="1"/>
    <col min="12" max="12" width="37.7109375" customWidth="1"/>
    <col min="13" max="13" width="39.85546875" customWidth="1"/>
    <col min="14" max="14" width="30.85546875" bestFit="1" customWidth="1"/>
    <col min="15" max="16" width="13.42578125" customWidth="1"/>
    <col min="17" max="17" width="56.7109375" customWidth="1"/>
    <col min="18" max="18" width="39" customWidth="1"/>
    <col min="19" max="19" width="41" customWidth="1"/>
    <col min="20" max="20" width="24.7109375" customWidth="1"/>
    <col min="21" max="21" width="20.7109375" customWidth="1"/>
    <col min="22" max="22" width="13.85546875" customWidth="1"/>
    <col min="23" max="23" width="58" customWidth="1"/>
    <col min="24" max="24" width="39" customWidth="1"/>
    <col min="25" max="25" width="41" customWidth="1"/>
    <col min="26" max="26" width="25.5703125" customWidth="1"/>
    <col min="27" max="27" width="15.140625" customWidth="1"/>
    <col min="28" max="28" width="14.7109375" customWidth="1"/>
    <col min="29" max="29" width="58.7109375" customWidth="1"/>
    <col min="30" max="30" width="39.85546875" customWidth="1"/>
    <col min="31" max="31" width="41.85546875" customWidth="1"/>
    <col min="32" max="32" width="25.5703125" customWidth="1"/>
    <col min="33" max="33" width="15.5703125" customWidth="1"/>
    <col min="34" max="34" width="14.7109375" customWidth="1"/>
    <col min="35" max="35" width="60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1160</v>
      </c>
      <c r="B2" s="1"/>
      <c r="C2" s="1" t="s">
        <v>2137</v>
      </c>
      <c r="D2" s="1" t="s">
        <v>2746</v>
      </c>
      <c r="E2" s="1" t="s">
        <v>2747</v>
      </c>
      <c r="F2" s="1" t="s">
        <v>4865</v>
      </c>
      <c r="G2" s="1" t="s">
        <v>4873</v>
      </c>
      <c r="H2" s="1" t="s">
        <v>4869</v>
      </c>
      <c r="I2" s="1" t="s">
        <v>5154</v>
      </c>
      <c r="J2" s="1" t="s">
        <v>4896</v>
      </c>
      <c r="K2" s="1" t="s">
        <v>4911</v>
      </c>
      <c r="L2" s="1" t="s">
        <v>2748</v>
      </c>
      <c r="M2" s="1">
        <v>818722398</v>
      </c>
      <c r="N2" s="11" t="s">
        <v>2749</v>
      </c>
      <c r="O2" s="1">
        <v>8181722398</v>
      </c>
      <c r="P2" s="9"/>
      <c r="Q2" s="1" t="s">
        <v>2747</v>
      </c>
      <c r="R2" s="1" t="s">
        <v>2748</v>
      </c>
      <c r="S2" s="1">
        <v>818722398</v>
      </c>
      <c r="T2" s="11" t="s">
        <v>2749</v>
      </c>
      <c r="U2" s="1">
        <v>8181722398</v>
      </c>
      <c r="V2" s="9"/>
      <c r="W2" s="1"/>
      <c r="X2" s="1"/>
      <c r="Y2" s="1"/>
      <c r="Z2" s="1"/>
      <c r="AA2" s="1"/>
      <c r="AB2" s="9"/>
      <c r="AC2" s="1"/>
      <c r="AD2" s="1"/>
      <c r="AE2" s="1"/>
      <c r="AF2" s="1"/>
      <c r="AG2" s="1"/>
      <c r="AI2" s="11" t="s">
        <v>2750</v>
      </c>
    </row>
    <row r="3" spans="1:35" x14ac:dyDescent="0.25">
      <c r="A3" s="1" t="s">
        <v>1161</v>
      </c>
      <c r="B3" s="18" t="s">
        <v>3996</v>
      </c>
      <c r="C3" s="1" t="s">
        <v>3502</v>
      </c>
      <c r="D3" s="1" t="s">
        <v>3630</v>
      </c>
      <c r="E3" s="1" t="s">
        <v>3631</v>
      </c>
      <c r="F3" s="1" t="s">
        <v>4867</v>
      </c>
      <c r="G3" s="1" t="s">
        <v>4874</v>
      </c>
      <c r="H3" s="1" t="s">
        <v>4869</v>
      </c>
      <c r="I3" s="1" t="s">
        <v>4920</v>
      </c>
      <c r="J3" s="1" t="s">
        <v>4896</v>
      </c>
      <c r="K3" s="1" t="s">
        <v>4911</v>
      </c>
      <c r="L3" s="1" t="s">
        <v>3632</v>
      </c>
      <c r="M3" s="1">
        <v>8119000834</v>
      </c>
      <c r="N3" s="11" t="s">
        <v>3633</v>
      </c>
      <c r="O3" s="1">
        <v>8119000834</v>
      </c>
      <c r="P3" s="9"/>
      <c r="Q3" s="1" t="s">
        <v>3631</v>
      </c>
      <c r="R3" s="1" t="s">
        <v>3632</v>
      </c>
      <c r="S3" s="1">
        <v>8119000834</v>
      </c>
      <c r="T3" s="11" t="s">
        <v>3633</v>
      </c>
      <c r="U3" s="1">
        <v>8119000834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3634</v>
      </c>
    </row>
    <row r="4" spans="1:35" x14ac:dyDescent="0.25">
      <c r="A4" s="1" t="s">
        <v>1162</v>
      </c>
      <c r="B4" s="18" t="s">
        <v>3995</v>
      </c>
      <c r="C4" s="1" t="s">
        <v>2283</v>
      </c>
      <c r="D4" s="1" t="s">
        <v>3399</v>
      </c>
      <c r="E4" s="1" t="s">
        <v>3400</v>
      </c>
      <c r="F4" s="1" t="s">
        <v>4864</v>
      </c>
      <c r="G4" s="1" t="s">
        <v>4875</v>
      </c>
      <c r="H4" s="1" t="s">
        <v>4869</v>
      </c>
      <c r="I4" s="1" t="s">
        <v>4918</v>
      </c>
      <c r="J4" s="1" t="s">
        <v>4896</v>
      </c>
      <c r="K4" s="1" t="s">
        <v>4924</v>
      </c>
      <c r="L4" s="1" t="s">
        <v>1483</v>
      </c>
      <c r="M4" s="1" t="s">
        <v>1483</v>
      </c>
      <c r="N4" s="1" t="s">
        <v>1483</v>
      </c>
      <c r="O4" s="1" t="s">
        <v>1483</v>
      </c>
      <c r="P4" s="9"/>
      <c r="Q4" s="1" t="s">
        <v>3401</v>
      </c>
      <c r="R4" s="1" t="s">
        <v>3402</v>
      </c>
      <c r="S4" s="1">
        <v>8117256272</v>
      </c>
      <c r="T4" s="11" t="s">
        <v>3403</v>
      </c>
      <c r="U4" s="1">
        <v>8117256272</v>
      </c>
      <c r="V4" s="9"/>
      <c r="W4" s="1" t="s">
        <v>3404</v>
      </c>
      <c r="X4" s="1" t="s">
        <v>3405</v>
      </c>
      <c r="Y4" s="1">
        <v>8134175429</v>
      </c>
      <c r="Z4" s="11" t="s">
        <v>3406</v>
      </c>
      <c r="AA4" s="1">
        <v>8134175429</v>
      </c>
      <c r="AB4" s="9"/>
      <c r="AC4" s="1"/>
      <c r="AD4" s="1"/>
      <c r="AE4" s="1"/>
      <c r="AF4" s="1"/>
      <c r="AG4" s="1"/>
      <c r="AI4" s="11" t="s">
        <v>3831</v>
      </c>
    </row>
    <row r="5" spans="1:35" x14ac:dyDescent="0.25">
      <c r="A5" s="1" t="s">
        <v>1163</v>
      </c>
      <c r="B5" s="18" t="s">
        <v>3996</v>
      </c>
      <c r="C5" s="1" t="s">
        <v>3502</v>
      </c>
      <c r="D5" t="s">
        <v>4842</v>
      </c>
      <c r="E5" s="1" t="s">
        <v>4841</v>
      </c>
      <c r="F5" s="1" t="s">
        <v>4864</v>
      </c>
      <c r="G5" s="1" t="s">
        <v>4875</v>
      </c>
      <c r="H5" s="1" t="s">
        <v>4869</v>
      </c>
      <c r="I5" s="1" t="s">
        <v>5099</v>
      </c>
      <c r="J5" s="1" t="s">
        <v>4896</v>
      </c>
      <c r="K5" s="1" t="s">
        <v>4911</v>
      </c>
      <c r="L5" s="1" t="s">
        <v>3632</v>
      </c>
      <c r="M5" s="1">
        <v>8119000834</v>
      </c>
      <c r="N5" s="11" t="s">
        <v>3633</v>
      </c>
      <c r="O5" s="1">
        <v>8119000834</v>
      </c>
      <c r="P5" s="9"/>
      <c r="Q5" s="1" t="s">
        <v>4841</v>
      </c>
      <c r="R5" s="1" t="s">
        <v>3632</v>
      </c>
      <c r="S5" s="1">
        <v>8119000834</v>
      </c>
      <c r="T5" s="11" t="s">
        <v>3633</v>
      </c>
      <c r="U5" s="1">
        <v>8119000834</v>
      </c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1" t="s">
        <v>4843</v>
      </c>
    </row>
    <row r="6" spans="1:35" x14ac:dyDescent="0.25">
      <c r="A6" s="1" t="s">
        <v>1164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  <c r="Q6" s="1"/>
      <c r="R6" s="1"/>
      <c r="S6" s="1"/>
      <c r="T6" s="1"/>
      <c r="U6" s="1"/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"/>
    </row>
    <row r="7" spans="1:35" x14ac:dyDescent="0.25">
      <c r="A7" s="1" t="s">
        <v>1165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1166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1167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1168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1169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1170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1171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1172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1173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1174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1175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1176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1177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1178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1179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1180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1181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1182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1183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1184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1185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1186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1187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1188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1189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1190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1191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1192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1193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1194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1195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1196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1197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1198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1199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1200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1201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1202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1203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1204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1205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1206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1207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1208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1209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SUBTOTAL(103,Tabla28[ARCHIVO])</f>
        <v>4</v>
      </c>
    </row>
  </sheetData>
  <hyperlinks>
    <hyperlink ref="N2" r:id="rId1" xr:uid="{00000000-0004-0000-1800-000000000000}"/>
    <hyperlink ref="AI2" r:id="rId2" xr:uid="{00000000-0004-0000-1800-000001000000}"/>
    <hyperlink ref="N3" r:id="rId3" xr:uid="{00000000-0004-0000-1800-000002000000}"/>
    <hyperlink ref="T3" r:id="rId4" xr:uid="{00000000-0004-0000-1800-000003000000}"/>
    <hyperlink ref="AI3" r:id="rId5" xr:uid="{00000000-0004-0000-1800-000004000000}"/>
    <hyperlink ref="T4" r:id="rId6" xr:uid="{00000000-0004-0000-1800-000005000000}"/>
    <hyperlink ref="Z4" r:id="rId7" xr:uid="{00000000-0004-0000-1800-000006000000}"/>
    <hyperlink ref="T2" r:id="rId8" xr:uid="{00000000-0004-0000-1800-000007000000}"/>
    <hyperlink ref="AI4" r:id="rId9" xr:uid="{00000000-0004-0000-1800-000008000000}"/>
    <hyperlink ref="N5" r:id="rId10" xr:uid="{00000000-0004-0000-1800-000009000000}"/>
    <hyperlink ref="T5" r:id="rId11" xr:uid="{00000000-0004-0000-1800-00000A000000}"/>
    <hyperlink ref="AI5" r:id="rId12" xr:uid="{00000000-0004-0000-1800-00000B000000}"/>
  </hyperlinks>
  <pageMargins left="0.7" right="0.7" top="0.75" bottom="0.75" header="0.3" footer="0.3"/>
  <pageSetup paperSize="9" orientation="portrait" r:id="rId13"/>
  <tableParts count="1">
    <tablePart r:id="rId1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8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8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8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8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52"/>
  <sheetViews>
    <sheetView topLeftCell="Z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18.85546875" bestFit="1" customWidth="1"/>
    <col min="4" max="4" width="24.85546875" customWidth="1"/>
    <col min="5" max="5" width="55.42578125" customWidth="1"/>
    <col min="6" max="6" width="27.28515625" customWidth="1"/>
    <col min="7" max="7" width="23.140625" bestFit="1" customWidth="1"/>
    <col min="8" max="8" width="13.5703125" customWidth="1"/>
    <col min="9" max="9" width="14.85546875" bestFit="1" customWidth="1"/>
    <col min="10" max="10" width="13.5703125" customWidth="1"/>
    <col min="11" max="11" width="21.85546875" bestFit="1" customWidth="1"/>
    <col min="12" max="12" width="28.85546875" customWidth="1"/>
    <col min="13" max="13" width="30.28515625" customWidth="1"/>
    <col min="14" max="14" width="25.28515625" bestFit="1" customWidth="1"/>
    <col min="15" max="15" width="19" customWidth="1"/>
    <col min="16" max="16" width="11" customWidth="1"/>
    <col min="17" max="17" width="43.42578125" customWidth="1"/>
    <col min="18" max="18" width="43" bestFit="1" customWidth="1"/>
    <col min="19" max="19" width="31.28515625" customWidth="1"/>
    <col min="20" max="20" width="29.42578125" bestFit="1" customWidth="1"/>
    <col min="21" max="21" width="21.42578125" customWidth="1"/>
    <col min="22" max="22" width="11" customWidth="1"/>
    <col min="23" max="23" width="44.42578125" customWidth="1"/>
    <col min="24" max="24" width="42.85546875" bestFit="1" customWidth="1"/>
    <col min="25" max="25" width="31.28515625" customWidth="1"/>
    <col min="26" max="26" width="30.5703125" bestFit="1" customWidth="1"/>
    <col min="27" max="27" width="19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31" bestFit="1" customWidth="1"/>
    <col min="33" max="33" width="21.7109375" customWidth="1"/>
    <col min="34" max="34" width="11.85546875" customWidth="1"/>
    <col min="35" max="35" width="50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1210</v>
      </c>
      <c r="B2" s="18" t="s">
        <v>3978</v>
      </c>
      <c r="C2" s="1" t="s">
        <v>1551</v>
      </c>
      <c r="D2" s="1" t="s">
        <v>1741</v>
      </c>
      <c r="E2" s="1" t="s">
        <v>1742</v>
      </c>
      <c r="F2" s="1" t="s">
        <v>4867</v>
      </c>
      <c r="G2" s="1" t="s">
        <v>4875</v>
      </c>
      <c r="H2" s="1" t="s">
        <v>4869</v>
      </c>
      <c r="I2" s="1" t="s">
        <v>5155</v>
      </c>
      <c r="J2" s="1" t="s">
        <v>4896</v>
      </c>
      <c r="K2" s="1" t="s">
        <v>4928</v>
      </c>
      <c r="L2" s="1" t="s">
        <v>1745</v>
      </c>
      <c r="M2" s="1" t="s">
        <v>1398</v>
      </c>
      <c r="N2" s="1" t="s">
        <v>1398</v>
      </c>
      <c r="O2" s="1" t="s">
        <v>1398</v>
      </c>
      <c r="P2" s="9"/>
      <c r="Q2" s="1" t="s">
        <v>1743</v>
      </c>
      <c r="R2" s="13" t="s">
        <v>1746</v>
      </c>
      <c r="S2" s="1">
        <v>8115082803</v>
      </c>
      <c r="T2" s="11" t="s">
        <v>1744</v>
      </c>
      <c r="U2" s="1">
        <v>8115082803</v>
      </c>
      <c r="V2" s="9"/>
      <c r="W2" s="1" t="s">
        <v>1747</v>
      </c>
      <c r="X2" s="1" t="s">
        <v>1748</v>
      </c>
      <c r="Y2" s="1">
        <v>8120367980</v>
      </c>
      <c r="Z2" s="11" t="s">
        <v>1749</v>
      </c>
      <c r="AA2" s="1">
        <v>8120367980</v>
      </c>
      <c r="AB2" s="9"/>
      <c r="AC2" s="1"/>
      <c r="AD2" s="1"/>
      <c r="AE2" s="1"/>
      <c r="AF2" s="1"/>
      <c r="AG2" s="1"/>
      <c r="AI2" s="11" t="s">
        <v>1750</v>
      </c>
    </row>
    <row r="3" spans="1:35" x14ac:dyDescent="0.25">
      <c r="A3" s="1" t="s">
        <v>1211</v>
      </c>
      <c r="B3" s="18" t="s">
        <v>2923</v>
      </c>
      <c r="C3" s="1" t="s">
        <v>1398</v>
      </c>
      <c r="D3" s="1" t="s">
        <v>1751</v>
      </c>
      <c r="E3" s="1" t="s">
        <v>1758</v>
      </c>
      <c r="F3" s="1" t="s">
        <v>4865</v>
      </c>
      <c r="G3" s="1" t="s">
        <v>4873</v>
      </c>
      <c r="H3" s="1" t="s">
        <v>4869</v>
      </c>
      <c r="I3" s="1" t="s">
        <v>5156</v>
      </c>
      <c r="J3" s="1" t="s">
        <v>4896</v>
      </c>
      <c r="K3" s="1" t="s">
        <v>4911</v>
      </c>
      <c r="L3" s="1" t="s">
        <v>1759</v>
      </c>
      <c r="M3" s="1">
        <v>8181877078</v>
      </c>
      <c r="N3" s="11" t="s">
        <v>1760</v>
      </c>
      <c r="O3" s="1">
        <v>8181877078</v>
      </c>
      <c r="P3" s="9"/>
      <c r="Q3" s="1" t="s">
        <v>1758</v>
      </c>
      <c r="R3" s="1" t="s">
        <v>1759</v>
      </c>
      <c r="S3" s="1">
        <v>8181877078</v>
      </c>
      <c r="T3" s="11" t="s">
        <v>1760</v>
      </c>
      <c r="U3" s="1">
        <v>8181877078</v>
      </c>
      <c r="V3" s="9"/>
      <c r="W3" s="1" t="s">
        <v>1761</v>
      </c>
      <c r="X3" s="1" t="s">
        <v>1762</v>
      </c>
      <c r="Y3" s="1">
        <v>8111054888</v>
      </c>
      <c r="Z3" s="11" t="s">
        <v>1763</v>
      </c>
      <c r="AA3" s="1">
        <v>8111054888</v>
      </c>
      <c r="AB3" s="9"/>
      <c r="AC3" s="1" t="s">
        <v>1764</v>
      </c>
      <c r="AD3" s="1" t="s">
        <v>1765</v>
      </c>
      <c r="AE3" s="1">
        <v>8119544606</v>
      </c>
      <c r="AF3" s="11" t="s">
        <v>1766</v>
      </c>
      <c r="AG3" s="1">
        <v>8119544606</v>
      </c>
      <c r="AI3" s="11" t="s">
        <v>1767</v>
      </c>
    </row>
    <row r="4" spans="1:35" x14ac:dyDescent="0.25">
      <c r="A4" s="1" t="s">
        <v>1212</v>
      </c>
      <c r="B4" s="18" t="s">
        <v>5272</v>
      </c>
      <c r="C4" s="1" t="s">
        <v>1434</v>
      </c>
      <c r="D4" s="1" t="s">
        <v>1752</v>
      </c>
      <c r="E4" s="1" t="s">
        <v>1753</v>
      </c>
      <c r="F4" s="13" t="s">
        <v>4865</v>
      </c>
      <c r="G4" s="13" t="s">
        <v>4875</v>
      </c>
      <c r="H4" s="13" t="s">
        <v>4869</v>
      </c>
      <c r="I4" s="13" t="s">
        <v>5157</v>
      </c>
      <c r="J4" s="13" t="s">
        <v>4896</v>
      </c>
      <c r="K4" s="13" t="s">
        <v>4911</v>
      </c>
      <c r="L4" s="1" t="s">
        <v>1398</v>
      </c>
      <c r="M4" s="1" t="s">
        <v>1398</v>
      </c>
      <c r="N4" s="1" t="s">
        <v>1398</v>
      </c>
      <c r="O4" s="1" t="s">
        <v>1398</v>
      </c>
      <c r="P4" s="9"/>
      <c r="Q4" s="1" t="s">
        <v>1754</v>
      </c>
      <c r="R4" s="1" t="s">
        <v>1755</v>
      </c>
      <c r="S4" s="1" t="s">
        <v>1682</v>
      </c>
      <c r="T4" s="11" t="s">
        <v>1756</v>
      </c>
      <c r="U4" s="1">
        <v>8135791102</v>
      </c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1" t="s">
        <v>1757</v>
      </c>
    </row>
    <row r="5" spans="1:35" x14ac:dyDescent="0.25">
      <c r="A5" s="1" t="s">
        <v>1213</v>
      </c>
      <c r="B5" s="18" t="s">
        <v>5143</v>
      </c>
      <c r="C5" s="1" t="s">
        <v>4057</v>
      </c>
      <c r="D5" s="1" t="s">
        <v>5142</v>
      </c>
      <c r="E5" s="1" t="s">
        <v>5144</v>
      </c>
      <c r="F5" s="1" t="s">
        <v>4865</v>
      </c>
      <c r="G5" s="1" t="s">
        <v>4875</v>
      </c>
      <c r="H5" s="1" t="s">
        <v>4869</v>
      </c>
      <c r="I5" s="1" t="s">
        <v>4936</v>
      </c>
      <c r="J5" s="1" t="s">
        <v>4896</v>
      </c>
      <c r="K5" s="1" t="s">
        <v>4911</v>
      </c>
      <c r="L5" s="1" t="s">
        <v>5145</v>
      </c>
      <c r="M5" s="1">
        <v>8120103465</v>
      </c>
      <c r="N5" s="11" t="s">
        <v>5146</v>
      </c>
      <c r="O5" s="1">
        <v>8120103465</v>
      </c>
      <c r="P5" s="9"/>
      <c r="Q5" s="1" t="s">
        <v>5147</v>
      </c>
      <c r="R5" s="1" t="s">
        <v>5148</v>
      </c>
      <c r="S5" s="1">
        <v>8118048969</v>
      </c>
      <c r="T5" s="11" t="s">
        <v>5149</v>
      </c>
      <c r="U5" s="1">
        <v>8118048969</v>
      </c>
      <c r="V5" s="9"/>
      <c r="W5" s="1" t="s">
        <v>5144</v>
      </c>
      <c r="X5" s="1" t="s">
        <v>5145</v>
      </c>
      <c r="Y5" s="1">
        <v>8120103465</v>
      </c>
      <c r="Z5" s="11" t="s">
        <v>5146</v>
      </c>
      <c r="AA5" s="1">
        <v>8120103465</v>
      </c>
      <c r="AB5" s="9"/>
      <c r="AC5" s="1" t="s">
        <v>5150</v>
      </c>
      <c r="AD5" s="1" t="s">
        <v>2194</v>
      </c>
      <c r="AE5" s="1">
        <v>8182259600</v>
      </c>
      <c r="AF5" s="11" t="s">
        <v>5151</v>
      </c>
      <c r="AG5" s="1">
        <v>8182259600</v>
      </c>
      <c r="AI5" s="11" t="s">
        <v>5152</v>
      </c>
    </row>
    <row r="6" spans="1:35" x14ac:dyDescent="0.25">
      <c r="A6" s="1" t="s">
        <v>1214</v>
      </c>
      <c r="B6" s="18" t="s">
        <v>5271</v>
      </c>
      <c r="C6" s="1" t="s">
        <v>5202</v>
      </c>
      <c r="D6" s="1" t="s">
        <v>5239</v>
      </c>
      <c r="E6" s="1" t="s">
        <v>5240</v>
      </c>
      <c r="F6" s="1" t="s">
        <v>4867</v>
      </c>
      <c r="G6" s="1" t="s">
        <v>4875</v>
      </c>
      <c r="H6" s="1" t="s">
        <v>4869</v>
      </c>
      <c r="I6" s="1" t="s">
        <v>5262</v>
      </c>
      <c r="J6" s="1" t="s">
        <v>4896</v>
      </c>
      <c r="K6" s="1" t="s">
        <v>4911</v>
      </c>
      <c r="L6" s="1" t="s">
        <v>4205</v>
      </c>
      <c r="M6" s="1">
        <v>8118249413</v>
      </c>
      <c r="N6" s="11" t="s">
        <v>5241</v>
      </c>
      <c r="O6" s="1">
        <v>8118249413</v>
      </c>
      <c r="P6" s="9"/>
      <c r="Q6" s="1" t="s">
        <v>5240</v>
      </c>
      <c r="R6" s="1" t="s">
        <v>4205</v>
      </c>
      <c r="S6" s="1">
        <v>8118249413</v>
      </c>
      <c r="T6" s="11" t="s">
        <v>5241</v>
      </c>
      <c r="U6" s="1">
        <v>8118249413</v>
      </c>
      <c r="V6" s="9"/>
      <c r="W6" s="1" t="s">
        <v>5242</v>
      </c>
      <c r="X6" s="1" t="s">
        <v>5243</v>
      </c>
      <c r="Y6" s="1">
        <v>8186877369</v>
      </c>
      <c r="Z6" s="11" t="s">
        <v>5244</v>
      </c>
      <c r="AA6" s="1">
        <v>8186877369</v>
      </c>
      <c r="AB6" s="9"/>
      <c r="AC6" s="1"/>
      <c r="AD6" s="1"/>
      <c r="AE6" s="1"/>
      <c r="AF6" s="1"/>
      <c r="AG6" s="1"/>
      <c r="AI6" s="11" t="s">
        <v>5245</v>
      </c>
    </row>
    <row r="7" spans="1:35" x14ac:dyDescent="0.25">
      <c r="A7" s="1" t="s">
        <v>1215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1216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1217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1218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1219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1220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1221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1222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1223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1224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1225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1226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1227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1228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1229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1230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1231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1232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1233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1234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1235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1236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1237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1238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1239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1240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1241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1242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1243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1244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1245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1246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1247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1248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1249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1250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1251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1252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1253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1254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1255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1256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1257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1258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1259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SUBTOTAL(103,Tabla29[ARCHIVO])</f>
        <v>5</v>
      </c>
    </row>
  </sheetData>
  <hyperlinks>
    <hyperlink ref="T2" r:id="rId1" xr:uid="{00000000-0004-0000-1900-000000000000}"/>
    <hyperlink ref="Z2" r:id="rId2" xr:uid="{00000000-0004-0000-1900-000001000000}"/>
    <hyperlink ref="AI2" r:id="rId3" xr:uid="{00000000-0004-0000-1900-000002000000}"/>
    <hyperlink ref="T4" r:id="rId4" xr:uid="{00000000-0004-0000-1900-000003000000}"/>
    <hyperlink ref="AI4" r:id="rId5" xr:uid="{00000000-0004-0000-1900-000004000000}"/>
    <hyperlink ref="N3" r:id="rId6" xr:uid="{00000000-0004-0000-1900-000005000000}"/>
    <hyperlink ref="T3" r:id="rId7" xr:uid="{00000000-0004-0000-1900-000006000000}"/>
    <hyperlink ref="Z3" r:id="rId8" xr:uid="{00000000-0004-0000-1900-000007000000}"/>
    <hyperlink ref="AF3" r:id="rId9" xr:uid="{00000000-0004-0000-1900-000008000000}"/>
    <hyperlink ref="AI3" r:id="rId10" xr:uid="{00000000-0004-0000-1900-000009000000}"/>
    <hyperlink ref="N5" r:id="rId11" xr:uid="{00000000-0004-0000-1900-00000A000000}"/>
    <hyperlink ref="Z5" r:id="rId12" xr:uid="{00000000-0004-0000-1900-00000B000000}"/>
    <hyperlink ref="T5" r:id="rId13" xr:uid="{00000000-0004-0000-1900-00000C000000}"/>
    <hyperlink ref="AF5" r:id="rId14" xr:uid="{00000000-0004-0000-1900-00000D000000}"/>
    <hyperlink ref="AI5" r:id="rId15" xr:uid="{00000000-0004-0000-1900-00000E000000}"/>
    <hyperlink ref="N6" r:id="rId16" xr:uid="{00000000-0004-0000-1900-00000F000000}"/>
    <hyperlink ref="T6" r:id="rId17" xr:uid="{00000000-0004-0000-1900-000010000000}"/>
    <hyperlink ref="Z6" r:id="rId18" xr:uid="{00000000-0004-0000-1900-000011000000}"/>
    <hyperlink ref="AI6" r:id="rId19" xr:uid="{00000000-0004-0000-1900-000012000000}"/>
  </hyperlinks>
  <pageMargins left="0.7" right="0.7" top="0.75" bottom="0.75" header="0.3" footer="0.3"/>
  <pageSetup paperSize="9" orientation="portrait" r:id="rId20"/>
  <tableParts count="1">
    <tablePart r:id="rId2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9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9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9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9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I52"/>
  <sheetViews>
    <sheetView topLeftCell="Z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2.140625" customWidth="1"/>
    <col min="4" max="4" width="10" customWidth="1"/>
    <col min="5" max="5" width="55.42578125" customWidth="1"/>
    <col min="6" max="6" width="27.28515625" customWidth="1"/>
    <col min="7" max="7" width="15" bestFit="1" customWidth="1"/>
    <col min="8" max="11" width="13.5703125" customWidth="1"/>
    <col min="12" max="12" width="28.85546875" customWidth="1"/>
    <col min="13" max="13" width="30.28515625" customWidth="1"/>
    <col min="14" max="14" width="30.85546875" customWidth="1"/>
    <col min="15" max="15" width="19.42578125" customWidth="1"/>
    <col min="16" max="16" width="11" customWidth="1"/>
    <col min="17" max="17" width="43.42578125" customWidth="1"/>
    <col min="18" max="18" width="30.42578125" customWidth="1"/>
    <col min="19" max="19" width="31.28515625" customWidth="1"/>
    <col min="20" max="20" width="27.7109375" customWidth="1"/>
    <col min="21" max="21" width="20.7109375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35.42578125" customWidth="1"/>
    <col min="27" max="27" width="25.5703125" customWidth="1"/>
    <col min="28" max="28" width="11.85546875" customWidth="1"/>
    <col min="29" max="29" width="45.42578125" customWidth="1"/>
    <col min="30" max="31" width="32.28515625" customWidth="1"/>
    <col min="32" max="32" width="25.5703125" customWidth="1"/>
    <col min="33" max="33" width="19" customWidth="1"/>
    <col min="34" max="34" width="11.85546875" customWidth="1"/>
    <col min="35" max="35" width="57.85546875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1260</v>
      </c>
      <c r="B2" s="1"/>
      <c r="C2" s="1" t="s">
        <v>3502</v>
      </c>
      <c r="D2" s="1" t="s">
        <v>3635</v>
      </c>
      <c r="E2" s="1" t="s">
        <v>3636</v>
      </c>
      <c r="F2" s="1" t="s">
        <v>4865</v>
      </c>
      <c r="G2" s="1" t="s">
        <v>4873</v>
      </c>
      <c r="H2" s="1" t="s">
        <v>4869</v>
      </c>
      <c r="I2" s="1" t="s">
        <v>4926</v>
      </c>
      <c r="J2" s="1" t="s">
        <v>4896</v>
      </c>
      <c r="K2" s="1" t="s">
        <v>4911</v>
      </c>
      <c r="L2" s="1" t="s">
        <v>1453</v>
      </c>
      <c r="M2" s="1" t="s">
        <v>3637</v>
      </c>
      <c r="N2" s="11" t="s">
        <v>3638</v>
      </c>
      <c r="O2" s="1">
        <v>8110772995</v>
      </c>
      <c r="P2" s="9"/>
      <c r="Q2" s="1" t="s">
        <v>3636</v>
      </c>
      <c r="R2" s="1" t="s">
        <v>1453</v>
      </c>
      <c r="S2" s="1" t="s">
        <v>3637</v>
      </c>
      <c r="T2" s="11" t="s">
        <v>3638</v>
      </c>
      <c r="U2" s="1">
        <v>8110772995</v>
      </c>
      <c r="V2" s="9"/>
      <c r="W2" s="1" t="s">
        <v>3639</v>
      </c>
      <c r="X2" s="1" t="s">
        <v>3640</v>
      </c>
      <c r="Y2" s="1" t="s">
        <v>3641</v>
      </c>
      <c r="Z2" s="11" t="s">
        <v>3642</v>
      </c>
      <c r="AA2" s="1">
        <v>8110772995</v>
      </c>
      <c r="AB2" s="9"/>
      <c r="AC2" s="1" t="s">
        <v>3643</v>
      </c>
      <c r="AD2" s="1" t="s">
        <v>3640</v>
      </c>
      <c r="AE2" s="1" t="s">
        <v>3641</v>
      </c>
      <c r="AF2" s="11" t="s">
        <v>3644</v>
      </c>
      <c r="AG2" s="1">
        <v>8110772995</v>
      </c>
      <c r="AI2" s="11" t="s">
        <v>3645</v>
      </c>
    </row>
    <row r="3" spans="1:35" x14ac:dyDescent="0.25">
      <c r="A3" s="1" t="s">
        <v>1261</v>
      </c>
      <c r="B3" s="18" t="s">
        <v>4967</v>
      </c>
      <c r="C3" s="1" t="s">
        <v>4490</v>
      </c>
      <c r="D3" s="1" t="s">
        <v>4622</v>
      </c>
      <c r="E3" s="1" t="s">
        <v>4623</v>
      </c>
      <c r="F3" s="1" t="s">
        <v>4865</v>
      </c>
      <c r="G3" s="1" t="s">
        <v>4874</v>
      </c>
      <c r="H3" s="1" t="s">
        <v>4869</v>
      </c>
      <c r="I3" s="1" t="s">
        <v>4920</v>
      </c>
      <c r="J3" s="1" t="s">
        <v>4896</v>
      </c>
      <c r="K3" s="1" t="s">
        <v>4911</v>
      </c>
      <c r="L3" s="1" t="s">
        <v>2431</v>
      </c>
      <c r="M3" s="1" t="s">
        <v>4624</v>
      </c>
      <c r="N3" s="11" t="s">
        <v>4625</v>
      </c>
      <c r="O3" s="1" t="s">
        <v>1398</v>
      </c>
      <c r="P3" s="9"/>
      <c r="Q3" s="1" t="s">
        <v>4623</v>
      </c>
      <c r="R3" s="1" t="s">
        <v>2431</v>
      </c>
      <c r="S3" s="1" t="s">
        <v>4624</v>
      </c>
      <c r="T3" s="11" t="s">
        <v>4625</v>
      </c>
      <c r="U3" s="1" t="s">
        <v>1398</v>
      </c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1" t="s">
        <v>4626</v>
      </c>
    </row>
    <row r="4" spans="1:35" x14ac:dyDescent="0.25">
      <c r="A4" s="1" t="s">
        <v>1262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/>
      <c r="Q4" s="1"/>
      <c r="R4" s="1"/>
      <c r="S4" s="1"/>
      <c r="T4" s="1"/>
      <c r="U4" s="1"/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"/>
    </row>
    <row r="5" spans="1:35" x14ac:dyDescent="0.25">
      <c r="A5" s="1" t="s">
        <v>1263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1"/>
      <c r="R5" s="1"/>
      <c r="S5" s="1"/>
      <c r="T5" s="1"/>
      <c r="U5" s="1"/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"/>
    </row>
    <row r="6" spans="1:35" x14ac:dyDescent="0.25">
      <c r="A6" s="1" t="s">
        <v>1264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  <c r="Q6" s="1"/>
      <c r="R6" s="1"/>
      <c r="S6" s="1"/>
      <c r="T6" s="1"/>
      <c r="U6" s="1"/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"/>
    </row>
    <row r="7" spans="1:35" x14ac:dyDescent="0.25">
      <c r="A7" s="1" t="s">
        <v>1265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1266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1267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1268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1269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1270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1271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1272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1273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1274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1275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1276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1277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1278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1279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1280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1281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1282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1283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1284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1285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1286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1287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1288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1289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1290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1291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1292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1293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1294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1295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1296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1297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1298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1299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1300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1301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1302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1303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1304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1305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1306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1307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1308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1309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SUBTOTAL(103,Tabla30[ARCHIVO])</f>
        <v>2</v>
      </c>
    </row>
  </sheetData>
  <hyperlinks>
    <hyperlink ref="N2" r:id="rId1" xr:uid="{00000000-0004-0000-1A00-000000000000}"/>
    <hyperlink ref="T2" r:id="rId2" xr:uid="{00000000-0004-0000-1A00-000001000000}"/>
    <hyperlink ref="Z2" r:id="rId3" xr:uid="{00000000-0004-0000-1A00-000002000000}"/>
    <hyperlink ref="AF2" r:id="rId4" xr:uid="{00000000-0004-0000-1A00-000003000000}"/>
    <hyperlink ref="AI2" r:id="rId5" xr:uid="{00000000-0004-0000-1A00-000004000000}"/>
    <hyperlink ref="N3" r:id="rId6" xr:uid="{00000000-0004-0000-1A00-000005000000}"/>
    <hyperlink ref="T3" r:id="rId7" xr:uid="{00000000-0004-0000-1A00-000006000000}"/>
    <hyperlink ref="AI3" r:id="rId8" xr:uid="{00000000-0004-0000-1A00-000007000000}"/>
  </hyperlinks>
  <pageMargins left="0.7" right="0.7" top="0.75" bottom="0.75" header="0.3" footer="0.3"/>
  <pageSetup paperSize="9" orientation="portrait" r:id="rId9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A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A00-000001000000}">
          <x14:formula1>
            <xm:f>DATOS!$B$13:$B$16</xm:f>
          </x14:formula1>
          <xm:sqref>H2:H51</xm:sqref>
        </x14:dataValidation>
        <x14:dataValidation type="list" allowBlank="1" showInputMessage="1" showErrorMessage="1" xr:uid="{00000000-0002-0000-1A00-000002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A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I52"/>
  <sheetViews>
    <sheetView topLeftCell="Y31" zoomScale="90" zoomScaleNormal="90" workbookViewId="0">
      <selection sqref="A1:AI51"/>
    </sheetView>
  </sheetViews>
  <sheetFormatPr baseColWidth="10" defaultRowHeight="15" x14ac:dyDescent="0.25"/>
  <cols>
    <col min="1" max="1" width="7" customWidth="1"/>
    <col min="2" max="2" width="16.140625" customWidth="1"/>
    <col min="3" max="3" width="23.85546875" customWidth="1"/>
    <col min="4" max="4" width="24.85546875" customWidth="1"/>
    <col min="5" max="5" width="55.42578125" customWidth="1"/>
    <col min="6" max="6" width="27.28515625" customWidth="1"/>
    <col min="7" max="7" width="15" bestFit="1" customWidth="1"/>
    <col min="8" max="8" width="13.5703125" customWidth="1"/>
    <col min="9" max="9" width="14.85546875" bestFit="1" customWidth="1"/>
    <col min="10" max="11" width="13.5703125" customWidth="1"/>
    <col min="12" max="12" width="28.85546875" customWidth="1"/>
    <col min="13" max="13" width="30.28515625" customWidth="1"/>
    <col min="14" max="14" width="20.42578125" customWidth="1"/>
    <col min="15" max="15" width="13.7109375" customWidth="1"/>
    <col min="16" max="16" width="11" customWidth="1"/>
    <col min="17" max="17" width="43.42578125" customWidth="1"/>
    <col min="18" max="18" width="29.85546875" customWidth="1"/>
    <col min="19" max="19" width="31.28515625" customWidth="1"/>
    <col min="20" max="20" width="24.28515625" customWidth="1"/>
    <col min="21" max="21" width="21.140625" customWidth="1"/>
    <col min="22" max="22" width="11" customWidth="1"/>
    <col min="23" max="23" width="44.42578125" customWidth="1"/>
    <col min="24" max="24" width="34.85546875" bestFit="1" customWidth="1"/>
    <col min="25" max="25" width="31.28515625" customWidth="1"/>
    <col min="26" max="26" width="22.7109375" customWidth="1"/>
    <col min="27" max="27" width="22.42578125" customWidth="1"/>
    <col min="28" max="28" width="11.85546875" customWidth="1"/>
    <col min="29" max="29" width="45.42578125" customWidth="1"/>
    <col min="30" max="30" width="30.85546875" customWidth="1"/>
    <col min="31" max="31" width="32.28515625" customWidth="1"/>
    <col min="32" max="32" width="24.140625" customWidth="1"/>
    <col min="33" max="33" width="14" customWidth="1"/>
    <col min="34" max="34" width="11.85546875" customWidth="1"/>
    <col min="35" max="35" width="43" customWidth="1"/>
  </cols>
  <sheetData>
    <row r="1" spans="1:35" s="4" customFormat="1" ht="15.75" thickBot="1" x14ac:dyDescent="0.25">
      <c r="A1" s="2" t="s">
        <v>9</v>
      </c>
      <c r="B1" s="2" t="s">
        <v>2817</v>
      </c>
      <c r="C1" s="2" t="s">
        <v>0</v>
      </c>
      <c r="D1" s="2" t="s">
        <v>59</v>
      </c>
      <c r="E1" s="2" t="s">
        <v>7</v>
      </c>
      <c r="F1" s="2" t="s">
        <v>2</v>
      </c>
      <c r="G1" s="2" t="s">
        <v>4858</v>
      </c>
      <c r="H1" s="2" t="s">
        <v>4859</v>
      </c>
      <c r="I1" s="2" t="s">
        <v>4860</v>
      </c>
      <c r="J1" s="2" t="s">
        <v>4861</v>
      </c>
      <c r="K1" s="2" t="s">
        <v>4862</v>
      </c>
      <c r="L1" s="2" t="s">
        <v>3</v>
      </c>
      <c r="M1" s="2" t="s">
        <v>5</v>
      </c>
      <c r="N1" s="2" t="s">
        <v>4</v>
      </c>
      <c r="O1" s="2" t="s">
        <v>8</v>
      </c>
      <c r="P1" s="8" t="s">
        <v>5277</v>
      </c>
      <c r="Q1" s="5" t="s">
        <v>1</v>
      </c>
      <c r="R1" s="6" t="s">
        <v>5281</v>
      </c>
      <c r="S1" s="6" t="s">
        <v>5282</v>
      </c>
      <c r="T1" s="6" t="s">
        <v>5283</v>
      </c>
      <c r="U1" s="7" t="s">
        <v>5284</v>
      </c>
      <c r="V1" s="8" t="s">
        <v>5278</v>
      </c>
      <c r="W1" s="5" t="s">
        <v>5285</v>
      </c>
      <c r="X1" s="6" t="s">
        <v>5286</v>
      </c>
      <c r="Y1" s="6" t="s">
        <v>5287</v>
      </c>
      <c r="Z1" s="6" t="s">
        <v>5288</v>
      </c>
      <c r="AA1" s="7" t="s">
        <v>5289</v>
      </c>
      <c r="AB1" s="8" t="s">
        <v>5279</v>
      </c>
      <c r="AC1" s="5" t="s">
        <v>5290</v>
      </c>
      <c r="AD1" s="6" t="s">
        <v>5291</v>
      </c>
      <c r="AE1" s="6" t="s">
        <v>5292</v>
      </c>
      <c r="AF1" s="6" t="s">
        <v>5293</v>
      </c>
      <c r="AG1" s="7" t="s">
        <v>5294</v>
      </c>
      <c r="AH1" s="4" t="s">
        <v>5280</v>
      </c>
      <c r="AI1" s="10" t="s">
        <v>1360</v>
      </c>
    </row>
    <row r="2" spans="1:35" x14ac:dyDescent="0.25">
      <c r="A2" s="1" t="s">
        <v>1310</v>
      </c>
      <c r="B2" s="1"/>
      <c r="C2" s="1" t="s">
        <v>3832</v>
      </c>
      <c r="D2" s="1" t="s">
        <v>3646</v>
      </c>
      <c r="E2" s="1" t="s">
        <v>3647</v>
      </c>
      <c r="F2" s="1" t="s">
        <v>4865</v>
      </c>
      <c r="G2" s="1" t="s">
        <v>4873</v>
      </c>
      <c r="H2" s="1" t="s">
        <v>4869</v>
      </c>
      <c r="I2" s="1" t="s">
        <v>5157</v>
      </c>
      <c r="J2" s="1" t="s">
        <v>4896</v>
      </c>
      <c r="K2" s="1" t="s">
        <v>4911</v>
      </c>
      <c r="L2" s="1" t="s">
        <v>3648</v>
      </c>
      <c r="M2" s="1">
        <v>8114922200</v>
      </c>
      <c r="N2" s="11" t="s">
        <v>3649</v>
      </c>
      <c r="O2" s="1">
        <v>8124302639</v>
      </c>
      <c r="P2" s="9"/>
      <c r="Q2" s="1" t="s">
        <v>3647</v>
      </c>
      <c r="R2" s="1" t="s">
        <v>3648</v>
      </c>
      <c r="S2" s="1">
        <v>8114922200</v>
      </c>
      <c r="T2" s="11" t="s">
        <v>3649</v>
      </c>
      <c r="U2" s="1">
        <v>8124302639</v>
      </c>
      <c r="V2" s="9"/>
      <c r="W2" s="1" t="s">
        <v>3650</v>
      </c>
      <c r="X2" s="1" t="s">
        <v>3648</v>
      </c>
      <c r="Y2" s="1">
        <v>8114922200</v>
      </c>
      <c r="Z2" s="11" t="s">
        <v>3651</v>
      </c>
      <c r="AA2" s="1" t="s">
        <v>1483</v>
      </c>
      <c r="AB2" s="9"/>
      <c r="AC2" s="1" t="s">
        <v>3652</v>
      </c>
      <c r="AD2" s="1" t="s">
        <v>3648</v>
      </c>
      <c r="AE2" s="1">
        <v>8114922200</v>
      </c>
      <c r="AF2" s="11" t="s">
        <v>3653</v>
      </c>
      <c r="AG2" s="1" t="s">
        <v>1483</v>
      </c>
      <c r="AI2" s="11" t="s">
        <v>3654</v>
      </c>
    </row>
    <row r="3" spans="1:35" x14ac:dyDescent="0.25">
      <c r="A3" s="1" t="s">
        <v>1311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9"/>
      <c r="Q3" s="1"/>
      <c r="R3" s="1"/>
      <c r="S3" s="1"/>
      <c r="T3" s="1"/>
      <c r="U3" s="1"/>
      <c r="V3" s="9"/>
      <c r="W3" s="1"/>
      <c r="X3" s="1"/>
      <c r="Y3" s="1"/>
      <c r="Z3" s="1"/>
      <c r="AA3" s="1"/>
      <c r="AB3" s="9"/>
      <c r="AC3" s="1"/>
      <c r="AD3" s="1"/>
      <c r="AE3" s="1"/>
      <c r="AF3" s="1"/>
      <c r="AG3" s="1"/>
      <c r="AI3" s="1"/>
    </row>
    <row r="4" spans="1:35" x14ac:dyDescent="0.25">
      <c r="A4" s="1" t="s">
        <v>1312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9"/>
      <c r="Q4" s="1"/>
      <c r="R4" s="1"/>
      <c r="S4" s="1"/>
      <c r="T4" s="1"/>
      <c r="U4" s="1"/>
      <c r="V4" s="9"/>
      <c r="W4" s="1"/>
      <c r="X4" s="1"/>
      <c r="Y4" s="1"/>
      <c r="Z4" s="1"/>
      <c r="AA4" s="1"/>
      <c r="AB4" s="9"/>
      <c r="AC4" s="1"/>
      <c r="AD4" s="1"/>
      <c r="AE4" s="1"/>
      <c r="AF4" s="1"/>
      <c r="AG4" s="1"/>
      <c r="AI4" s="1"/>
    </row>
    <row r="5" spans="1:35" x14ac:dyDescent="0.25">
      <c r="A5" s="1" t="s">
        <v>1313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1"/>
      <c r="R5" s="1"/>
      <c r="S5" s="1"/>
      <c r="T5" s="1"/>
      <c r="U5" s="1"/>
      <c r="V5" s="9"/>
      <c r="W5" s="1"/>
      <c r="X5" s="1"/>
      <c r="Y5" s="1"/>
      <c r="Z5" s="1"/>
      <c r="AA5" s="1"/>
      <c r="AB5" s="9"/>
      <c r="AC5" s="1"/>
      <c r="AD5" s="1"/>
      <c r="AE5" s="1"/>
      <c r="AF5" s="1"/>
      <c r="AG5" s="1"/>
      <c r="AI5" s="1"/>
    </row>
    <row r="6" spans="1:35" x14ac:dyDescent="0.25">
      <c r="A6" s="1" t="s">
        <v>1314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9"/>
      <c r="Q6" s="1"/>
      <c r="R6" s="1"/>
      <c r="S6" s="1"/>
      <c r="T6" s="1"/>
      <c r="U6" s="1"/>
      <c r="V6" s="9"/>
      <c r="W6" s="1"/>
      <c r="X6" s="1"/>
      <c r="Y6" s="1"/>
      <c r="Z6" s="1"/>
      <c r="AA6" s="1"/>
      <c r="AB6" s="9"/>
      <c r="AC6" s="1"/>
      <c r="AD6" s="1"/>
      <c r="AE6" s="1"/>
      <c r="AF6" s="1"/>
      <c r="AG6" s="1"/>
      <c r="AI6" s="1"/>
    </row>
    <row r="7" spans="1:35" x14ac:dyDescent="0.25">
      <c r="A7" s="1" t="s">
        <v>1315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9"/>
      <c r="Q7" s="1"/>
      <c r="R7" s="1"/>
      <c r="S7" s="1"/>
      <c r="T7" s="1"/>
      <c r="U7" s="1"/>
      <c r="V7" s="9"/>
      <c r="W7" s="1"/>
      <c r="X7" s="1"/>
      <c r="Y7" s="1"/>
      <c r="Z7" s="1"/>
      <c r="AA7" s="1"/>
      <c r="AB7" s="9"/>
      <c r="AC7" s="1"/>
      <c r="AD7" s="1"/>
      <c r="AE7" s="1"/>
      <c r="AF7" s="1"/>
      <c r="AG7" s="1"/>
      <c r="AI7" s="1"/>
    </row>
    <row r="8" spans="1:35" x14ac:dyDescent="0.25">
      <c r="A8" s="1" t="s">
        <v>1316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9"/>
      <c r="Q8" s="1"/>
      <c r="R8" s="1"/>
      <c r="S8" s="1"/>
      <c r="T8" s="1"/>
      <c r="U8" s="1"/>
      <c r="V8" s="9"/>
      <c r="W8" s="1"/>
      <c r="X8" s="1"/>
      <c r="Y8" s="1"/>
      <c r="Z8" s="1"/>
      <c r="AA8" s="1"/>
      <c r="AB8" s="9"/>
      <c r="AC8" s="1"/>
      <c r="AD8" s="1"/>
      <c r="AE8" s="1"/>
      <c r="AF8" s="1"/>
      <c r="AG8" s="1"/>
      <c r="AI8" s="1"/>
    </row>
    <row r="9" spans="1:35" x14ac:dyDescent="0.25">
      <c r="A9" s="1" t="s">
        <v>1317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1"/>
      <c r="R9" s="1"/>
      <c r="S9" s="1"/>
      <c r="T9" s="1"/>
      <c r="U9" s="1"/>
      <c r="V9" s="9"/>
      <c r="W9" s="1"/>
      <c r="X9" s="1"/>
      <c r="Y9" s="1"/>
      <c r="Z9" s="1"/>
      <c r="AA9" s="1"/>
      <c r="AB9" s="9"/>
      <c r="AC9" s="1"/>
      <c r="AD9" s="1"/>
      <c r="AE9" s="1"/>
      <c r="AF9" s="1"/>
      <c r="AG9" s="1"/>
      <c r="AI9" s="1"/>
    </row>
    <row r="10" spans="1:35" x14ac:dyDescent="0.25">
      <c r="A10" s="1" t="s">
        <v>1318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9"/>
      <c r="Q10" s="1"/>
      <c r="R10" s="1"/>
      <c r="S10" s="1"/>
      <c r="T10" s="1"/>
      <c r="U10" s="1"/>
      <c r="V10" s="9"/>
      <c r="W10" s="1"/>
      <c r="X10" s="1"/>
      <c r="Y10" s="1"/>
      <c r="Z10" s="1"/>
      <c r="AA10" s="1"/>
      <c r="AB10" s="9"/>
      <c r="AC10" s="1"/>
      <c r="AD10" s="1"/>
      <c r="AE10" s="1"/>
      <c r="AF10" s="1"/>
      <c r="AG10" s="1"/>
      <c r="AI10" s="1"/>
    </row>
    <row r="11" spans="1:35" x14ac:dyDescent="0.25">
      <c r="A11" s="1" t="s">
        <v>1319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9"/>
      <c r="Q11" s="1"/>
      <c r="R11" s="1"/>
      <c r="S11" s="1"/>
      <c r="T11" s="1"/>
      <c r="U11" s="1"/>
      <c r="V11" s="9"/>
      <c r="W11" s="1"/>
      <c r="X11" s="1"/>
      <c r="Y11" s="1"/>
      <c r="Z11" s="1"/>
      <c r="AA11" s="1"/>
      <c r="AB11" s="9"/>
      <c r="AC11" s="1"/>
      <c r="AD11" s="1"/>
      <c r="AE11" s="1"/>
      <c r="AF11" s="1"/>
      <c r="AG11" s="1"/>
      <c r="AI11" s="1"/>
    </row>
    <row r="12" spans="1:35" x14ac:dyDescent="0.25">
      <c r="A12" s="1" t="s">
        <v>1320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9"/>
      <c r="Q12" s="1"/>
      <c r="R12" s="1"/>
      <c r="S12" s="1"/>
      <c r="T12" s="1"/>
      <c r="U12" s="1"/>
      <c r="V12" s="9"/>
      <c r="W12" s="1"/>
      <c r="X12" s="1"/>
      <c r="Y12" s="1"/>
      <c r="Z12" s="1"/>
      <c r="AA12" s="1"/>
      <c r="AB12" s="9"/>
      <c r="AC12" s="1"/>
      <c r="AD12" s="1"/>
      <c r="AE12" s="1"/>
      <c r="AF12" s="1"/>
      <c r="AG12" s="1"/>
      <c r="AI12" s="1"/>
    </row>
    <row r="13" spans="1:35" x14ac:dyDescent="0.25">
      <c r="A13" s="1" t="s">
        <v>1321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  <c r="Q13" s="1"/>
      <c r="R13" s="1"/>
      <c r="S13" s="1"/>
      <c r="T13" s="1"/>
      <c r="U13" s="1"/>
      <c r="V13" s="9"/>
      <c r="W13" s="1"/>
      <c r="X13" s="1"/>
      <c r="Y13" s="1"/>
      <c r="Z13" s="1"/>
      <c r="AA13" s="1"/>
      <c r="AB13" s="9"/>
      <c r="AC13" s="1"/>
      <c r="AD13" s="1"/>
      <c r="AE13" s="1"/>
      <c r="AF13" s="1"/>
      <c r="AG13" s="1"/>
      <c r="AI13" s="1"/>
    </row>
    <row r="14" spans="1:35" x14ac:dyDescent="0.25">
      <c r="A14" s="1" t="s">
        <v>1322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  <c r="Q14" s="1"/>
      <c r="R14" s="1"/>
      <c r="S14" s="1"/>
      <c r="T14" s="1"/>
      <c r="U14" s="1"/>
      <c r="V14" s="9"/>
      <c r="W14" s="1"/>
      <c r="X14" s="1"/>
      <c r="Y14" s="1"/>
      <c r="Z14" s="1"/>
      <c r="AA14" s="1"/>
      <c r="AB14" s="9"/>
      <c r="AC14" s="1"/>
      <c r="AD14" s="1"/>
      <c r="AE14" s="1"/>
      <c r="AF14" s="1"/>
      <c r="AG14" s="1"/>
      <c r="AI14" s="1"/>
    </row>
    <row r="15" spans="1:35" x14ac:dyDescent="0.25">
      <c r="A15" s="1" t="s">
        <v>1323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  <c r="Q15" s="1"/>
      <c r="R15" s="1"/>
      <c r="S15" s="1"/>
      <c r="T15" s="1"/>
      <c r="U15" s="1"/>
      <c r="V15" s="9"/>
      <c r="W15" s="1"/>
      <c r="X15" s="1"/>
      <c r="Y15" s="1"/>
      <c r="Z15" s="1"/>
      <c r="AA15" s="1"/>
      <c r="AB15" s="9"/>
      <c r="AC15" s="1"/>
      <c r="AD15" s="1"/>
      <c r="AE15" s="1"/>
      <c r="AF15" s="1"/>
      <c r="AG15" s="1"/>
      <c r="AI15" s="1"/>
    </row>
    <row r="16" spans="1:35" x14ac:dyDescent="0.25">
      <c r="A16" s="1" t="s">
        <v>1324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  <c r="Q16" s="1"/>
      <c r="R16" s="1"/>
      <c r="S16" s="1"/>
      <c r="T16" s="1"/>
      <c r="U16" s="1"/>
      <c r="V16" s="9"/>
      <c r="W16" s="1"/>
      <c r="X16" s="1"/>
      <c r="Y16" s="1"/>
      <c r="Z16" s="1"/>
      <c r="AA16" s="1"/>
      <c r="AB16" s="9"/>
      <c r="AC16" s="1"/>
      <c r="AD16" s="1"/>
      <c r="AE16" s="1"/>
      <c r="AF16" s="1"/>
      <c r="AG16" s="1"/>
      <c r="AI16" s="1"/>
    </row>
    <row r="17" spans="1:35" x14ac:dyDescent="0.25">
      <c r="A17" s="1" t="s">
        <v>1325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  <c r="Q17" s="1"/>
      <c r="R17" s="1"/>
      <c r="S17" s="1"/>
      <c r="T17" s="1"/>
      <c r="U17" s="1"/>
      <c r="V17" s="9"/>
      <c r="W17" s="1"/>
      <c r="X17" s="1"/>
      <c r="Y17" s="1"/>
      <c r="Z17" s="1"/>
      <c r="AA17" s="1"/>
      <c r="AB17" s="9"/>
      <c r="AC17" s="1"/>
      <c r="AD17" s="1"/>
      <c r="AE17" s="1"/>
      <c r="AF17" s="1"/>
      <c r="AG17" s="1"/>
      <c r="AI17" s="1"/>
    </row>
    <row r="18" spans="1:35" x14ac:dyDescent="0.25">
      <c r="A18" s="1" t="s">
        <v>1326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  <c r="Q18" s="1"/>
      <c r="R18" s="1"/>
      <c r="S18" s="1"/>
      <c r="T18" s="1"/>
      <c r="U18" s="1"/>
      <c r="V18" s="9"/>
      <c r="W18" s="1"/>
      <c r="X18" s="1"/>
      <c r="Y18" s="1"/>
      <c r="Z18" s="1"/>
      <c r="AA18" s="1"/>
      <c r="AB18" s="9"/>
      <c r="AC18" s="1"/>
      <c r="AD18" s="1"/>
      <c r="AE18" s="1"/>
      <c r="AF18" s="1"/>
      <c r="AG18" s="1"/>
      <c r="AI18" s="1"/>
    </row>
    <row r="19" spans="1:35" x14ac:dyDescent="0.25">
      <c r="A19" s="1" t="s">
        <v>1327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  <c r="Q19" s="1"/>
      <c r="R19" s="1"/>
      <c r="S19" s="1"/>
      <c r="T19" s="1"/>
      <c r="U19" s="1"/>
      <c r="V19" s="9"/>
      <c r="W19" s="1"/>
      <c r="X19" s="1"/>
      <c r="Y19" s="1"/>
      <c r="Z19" s="1"/>
      <c r="AA19" s="1"/>
      <c r="AB19" s="9"/>
      <c r="AC19" s="1"/>
      <c r="AD19" s="1"/>
      <c r="AE19" s="1"/>
      <c r="AF19" s="1"/>
      <c r="AG19" s="1"/>
      <c r="AI19" s="1"/>
    </row>
    <row r="20" spans="1:35" x14ac:dyDescent="0.25">
      <c r="A20" s="1" t="s">
        <v>1328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  <c r="Q20" s="1"/>
      <c r="R20" s="1"/>
      <c r="S20" s="1"/>
      <c r="T20" s="1"/>
      <c r="U20" s="1"/>
      <c r="V20" s="9"/>
      <c r="W20" s="1"/>
      <c r="X20" s="1"/>
      <c r="Y20" s="1"/>
      <c r="Z20" s="1"/>
      <c r="AA20" s="1"/>
      <c r="AB20" s="9"/>
      <c r="AC20" s="1"/>
      <c r="AD20" s="1"/>
      <c r="AE20" s="1"/>
      <c r="AF20" s="1"/>
      <c r="AG20" s="1"/>
      <c r="AI20" s="1"/>
    </row>
    <row r="21" spans="1:35" x14ac:dyDescent="0.25">
      <c r="A21" s="1" t="s">
        <v>1329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  <c r="Q21" s="1"/>
      <c r="R21" s="1"/>
      <c r="S21" s="1"/>
      <c r="T21" s="1"/>
      <c r="U21" s="1"/>
      <c r="V21" s="9"/>
      <c r="W21" s="1"/>
      <c r="X21" s="1"/>
      <c r="Y21" s="1"/>
      <c r="Z21" s="1"/>
      <c r="AA21" s="1"/>
      <c r="AB21" s="9"/>
      <c r="AC21" s="1"/>
      <c r="AD21" s="1"/>
      <c r="AE21" s="1"/>
      <c r="AF21" s="1"/>
      <c r="AG21" s="1"/>
      <c r="AI21" s="1"/>
    </row>
    <row r="22" spans="1:35" x14ac:dyDescent="0.25">
      <c r="A22" s="1" t="s">
        <v>1330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9"/>
      <c r="Q22" s="1"/>
      <c r="R22" s="1"/>
      <c r="S22" s="1"/>
      <c r="T22" s="1"/>
      <c r="U22" s="1"/>
      <c r="V22" s="9"/>
      <c r="W22" s="1"/>
      <c r="X22" s="1"/>
      <c r="Y22" s="1"/>
      <c r="Z22" s="1"/>
      <c r="AA22" s="1"/>
      <c r="AB22" s="9"/>
      <c r="AC22" s="1"/>
      <c r="AD22" s="1"/>
      <c r="AE22" s="1"/>
      <c r="AF22" s="1"/>
      <c r="AG22" s="1"/>
      <c r="AI22" s="1"/>
    </row>
    <row r="23" spans="1:35" x14ac:dyDescent="0.25">
      <c r="A23" s="1" t="s">
        <v>1331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9"/>
      <c r="Q23" s="1"/>
      <c r="R23" s="1"/>
      <c r="S23" s="1"/>
      <c r="T23" s="1"/>
      <c r="U23" s="1"/>
      <c r="V23" s="9"/>
      <c r="W23" s="1"/>
      <c r="X23" s="1"/>
      <c r="Y23" s="1"/>
      <c r="Z23" s="1"/>
      <c r="AA23" s="1"/>
      <c r="AB23" s="9"/>
      <c r="AC23" s="1"/>
      <c r="AD23" s="1"/>
      <c r="AE23" s="1"/>
      <c r="AF23" s="1"/>
      <c r="AG23" s="1"/>
      <c r="AI23" s="1"/>
    </row>
    <row r="24" spans="1:35" x14ac:dyDescent="0.25">
      <c r="A24" s="1" t="s">
        <v>1332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9"/>
      <c r="Q24" s="1"/>
      <c r="R24" s="1"/>
      <c r="S24" s="1"/>
      <c r="T24" s="1"/>
      <c r="U24" s="1"/>
      <c r="V24" s="9"/>
      <c r="W24" s="1"/>
      <c r="X24" s="1"/>
      <c r="Y24" s="1"/>
      <c r="Z24" s="1"/>
      <c r="AA24" s="1"/>
      <c r="AB24" s="9"/>
      <c r="AC24" s="1"/>
      <c r="AD24" s="1"/>
      <c r="AE24" s="1"/>
      <c r="AF24" s="1"/>
      <c r="AG24" s="1"/>
      <c r="AI24" s="1"/>
    </row>
    <row r="25" spans="1:35" x14ac:dyDescent="0.25">
      <c r="A25" s="1" t="s">
        <v>1333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9"/>
      <c r="Q25" s="1"/>
      <c r="R25" s="1"/>
      <c r="S25" s="1"/>
      <c r="T25" s="1"/>
      <c r="U25" s="1"/>
      <c r="V25" s="9"/>
      <c r="W25" s="1"/>
      <c r="X25" s="1"/>
      <c r="Y25" s="1"/>
      <c r="Z25" s="1"/>
      <c r="AA25" s="1"/>
      <c r="AB25" s="9"/>
      <c r="AC25" s="1"/>
      <c r="AD25" s="1"/>
      <c r="AE25" s="1"/>
      <c r="AF25" s="1"/>
      <c r="AG25" s="1"/>
      <c r="AI25" s="1"/>
    </row>
    <row r="26" spans="1:35" x14ac:dyDescent="0.25">
      <c r="A26" s="1" t="s">
        <v>1334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9"/>
      <c r="Q26" s="1"/>
      <c r="R26" s="1"/>
      <c r="S26" s="1"/>
      <c r="T26" s="1"/>
      <c r="U26" s="1"/>
      <c r="V26" s="9"/>
      <c r="W26" s="1"/>
      <c r="X26" s="1"/>
      <c r="Y26" s="1"/>
      <c r="Z26" s="1"/>
      <c r="AA26" s="1"/>
      <c r="AB26" s="9"/>
      <c r="AC26" s="1"/>
      <c r="AD26" s="1"/>
      <c r="AE26" s="1"/>
      <c r="AF26" s="1"/>
      <c r="AG26" s="1"/>
      <c r="AI26" s="1"/>
    </row>
    <row r="27" spans="1:35" x14ac:dyDescent="0.25">
      <c r="A27" s="1" t="s">
        <v>1335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9"/>
      <c r="Q27" s="1"/>
      <c r="R27" s="1"/>
      <c r="S27" s="1"/>
      <c r="T27" s="1"/>
      <c r="U27" s="1"/>
      <c r="V27" s="9"/>
      <c r="W27" s="1"/>
      <c r="X27" s="1"/>
      <c r="Y27" s="1"/>
      <c r="Z27" s="1"/>
      <c r="AA27" s="1"/>
      <c r="AB27" s="9"/>
      <c r="AC27" s="1"/>
      <c r="AD27" s="1"/>
      <c r="AE27" s="1"/>
      <c r="AF27" s="1"/>
      <c r="AG27" s="1"/>
      <c r="AI27" s="1"/>
    </row>
    <row r="28" spans="1:35" x14ac:dyDescent="0.25">
      <c r="A28" s="1" t="s">
        <v>1336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9"/>
      <c r="Q28" s="1"/>
      <c r="R28" s="1"/>
      <c r="S28" s="1"/>
      <c r="T28" s="1"/>
      <c r="U28" s="1"/>
      <c r="V28" s="9"/>
      <c r="W28" s="1"/>
      <c r="X28" s="1"/>
      <c r="Y28" s="1"/>
      <c r="Z28" s="1"/>
      <c r="AA28" s="1"/>
      <c r="AB28" s="9"/>
      <c r="AC28" s="1"/>
      <c r="AD28" s="1"/>
      <c r="AE28" s="1"/>
      <c r="AF28" s="1"/>
      <c r="AG28" s="1"/>
      <c r="AI28" s="1"/>
    </row>
    <row r="29" spans="1:35" x14ac:dyDescent="0.25">
      <c r="A29" s="1" t="s">
        <v>1337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9"/>
      <c r="Q29" s="1"/>
      <c r="R29" s="1"/>
      <c r="S29" s="1"/>
      <c r="T29" s="1"/>
      <c r="U29" s="1"/>
      <c r="V29" s="9"/>
      <c r="W29" s="1"/>
      <c r="X29" s="1"/>
      <c r="Y29" s="1"/>
      <c r="Z29" s="1"/>
      <c r="AA29" s="1"/>
      <c r="AB29" s="9"/>
      <c r="AC29" s="1"/>
      <c r="AD29" s="1"/>
      <c r="AE29" s="1"/>
      <c r="AF29" s="1"/>
      <c r="AG29" s="1"/>
      <c r="AI29" s="1"/>
    </row>
    <row r="30" spans="1:35" x14ac:dyDescent="0.25">
      <c r="A30" s="1" t="s">
        <v>1338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9"/>
      <c r="Q30" s="1"/>
      <c r="R30" s="1"/>
      <c r="S30" s="1"/>
      <c r="T30" s="1"/>
      <c r="U30" s="1"/>
      <c r="V30" s="9"/>
      <c r="W30" s="1"/>
      <c r="X30" s="1"/>
      <c r="Y30" s="1"/>
      <c r="Z30" s="1"/>
      <c r="AA30" s="1"/>
      <c r="AB30" s="9"/>
      <c r="AC30" s="1"/>
      <c r="AD30" s="1"/>
      <c r="AE30" s="1"/>
      <c r="AF30" s="1"/>
      <c r="AG30" s="1"/>
      <c r="AI30" s="1"/>
    </row>
    <row r="31" spans="1:35" x14ac:dyDescent="0.25">
      <c r="A31" s="1" t="s">
        <v>1339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9"/>
      <c r="Q31" s="1"/>
      <c r="R31" s="1"/>
      <c r="S31" s="1"/>
      <c r="T31" s="1"/>
      <c r="U31" s="1"/>
      <c r="V31" s="9"/>
      <c r="W31" s="1"/>
      <c r="X31" s="1"/>
      <c r="Y31" s="1"/>
      <c r="Z31" s="1"/>
      <c r="AA31" s="1"/>
      <c r="AB31" s="9"/>
      <c r="AC31" s="1"/>
      <c r="AD31" s="1"/>
      <c r="AE31" s="1"/>
      <c r="AF31" s="1"/>
      <c r="AG31" s="1"/>
      <c r="AI31" s="1"/>
    </row>
    <row r="32" spans="1:35" x14ac:dyDescent="0.25">
      <c r="A32" s="1" t="s">
        <v>1340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9"/>
      <c r="Q32" s="1"/>
      <c r="R32" s="1"/>
      <c r="S32" s="1"/>
      <c r="T32" s="1"/>
      <c r="U32" s="1"/>
      <c r="V32" s="9"/>
      <c r="W32" s="1"/>
      <c r="X32" s="1"/>
      <c r="Y32" s="1"/>
      <c r="Z32" s="1"/>
      <c r="AA32" s="1"/>
      <c r="AB32" s="9"/>
      <c r="AC32" s="1"/>
      <c r="AD32" s="1"/>
      <c r="AE32" s="1"/>
      <c r="AF32" s="1"/>
      <c r="AG32" s="1"/>
      <c r="AI32" s="1"/>
    </row>
    <row r="33" spans="1:35" x14ac:dyDescent="0.25">
      <c r="A33" s="1" t="s">
        <v>1341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9"/>
      <c r="Q33" s="1"/>
      <c r="R33" s="1"/>
      <c r="S33" s="1"/>
      <c r="T33" s="1"/>
      <c r="U33" s="1"/>
      <c r="V33" s="9"/>
      <c r="W33" s="1"/>
      <c r="X33" s="1"/>
      <c r="Y33" s="1"/>
      <c r="Z33" s="1"/>
      <c r="AA33" s="1"/>
      <c r="AB33" s="9"/>
      <c r="AC33" s="1"/>
      <c r="AD33" s="1"/>
      <c r="AE33" s="1"/>
      <c r="AF33" s="1"/>
      <c r="AG33" s="1"/>
      <c r="AI33" s="1"/>
    </row>
    <row r="34" spans="1:35" x14ac:dyDescent="0.25">
      <c r="A34" s="1" t="s">
        <v>1342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9"/>
      <c r="Q34" s="1"/>
      <c r="R34" s="1"/>
      <c r="S34" s="1"/>
      <c r="T34" s="1"/>
      <c r="U34" s="1"/>
      <c r="V34" s="9"/>
      <c r="W34" s="1"/>
      <c r="X34" s="1"/>
      <c r="Y34" s="1"/>
      <c r="Z34" s="1"/>
      <c r="AA34" s="1"/>
      <c r="AB34" s="9"/>
      <c r="AC34" s="1"/>
      <c r="AD34" s="1"/>
      <c r="AE34" s="1"/>
      <c r="AF34" s="1"/>
      <c r="AG34" s="1"/>
      <c r="AI34" s="1"/>
    </row>
    <row r="35" spans="1:35" x14ac:dyDescent="0.25">
      <c r="A35" s="1" t="s">
        <v>1343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9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9"/>
      <c r="AC35" s="1"/>
      <c r="AD35" s="1"/>
      <c r="AE35" s="1"/>
      <c r="AF35" s="1"/>
      <c r="AG35" s="1"/>
      <c r="AI35" s="1"/>
    </row>
    <row r="36" spans="1:35" x14ac:dyDescent="0.25">
      <c r="A36" s="1" t="s">
        <v>1344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9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9"/>
      <c r="AC36" s="1"/>
      <c r="AD36" s="1"/>
      <c r="AE36" s="1"/>
      <c r="AF36" s="1"/>
      <c r="AG36" s="1"/>
      <c r="AI36" s="1"/>
    </row>
    <row r="37" spans="1:35" x14ac:dyDescent="0.25">
      <c r="A37" s="1" t="s">
        <v>1345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9"/>
      <c r="Q37" s="1"/>
      <c r="R37" s="1"/>
      <c r="S37" s="1"/>
      <c r="T37" s="1"/>
      <c r="U37" s="1"/>
      <c r="V37" s="9"/>
      <c r="W37" s="1"/>
      <c r="X37" s="1"/>
      <c r="Y37" s="1"/>
      <c r="Z37" s="1"/>
      <c r="AA37" s="1"/>
      <c r="AB37" s="9"/>
      <c r="AC37" s="1"/>
      <c r="AD37" s="1"/>
      <c r="AE37" s="1"/>
      <c r="AF37" s="1"/>
      <c r="AG37" s="1"/>
      <c r="AI37" s="1"/>
    </row>
    <row r="38" spans="1:35" x14ac:dyDescent="0.25">
      <c r="A38" s="1" t="s">
        <v>1346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9"/>
      <c r="Q38" s="1"/>
      <c r="R38" s="1"/>
      <c r="S38" s="1"/>
      <c r="T38" s="1"/>
      <c r="U38" s="1"/>
      <c r="V38" s="9"/>
      <c r="W38" s="1"/>
      <c r="X38" s="1"/>
      <c r="Y38" s="1"/>
      <c r="Z38" s="1"/>
      <c r="AA38" s="1"/>
      <c r="AB38" s="9"/>
      <c r="AC38" s="1"/>
      <c r="AD38" s="1"/>
      <c r="AE38" s="1"/>
      <c r="AF38" s="1"/>
      <c r="AG38" s="1"/>
      <c r="AI38" s="1"/>
    </row>
    <row r="39" spans="1:35" x14ac:dyDescent="0.25">
      <c r="A39" s="1" t="s">
        <v>1347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9"/>
      <c r="Q39" s="1"/>
      <c r="R39" s="1"/>
      <c r="S39" s="1"/>
      <c r="T39" s="1"/>
      <c r="U39" s="1"/>
      <c r="V39" s="9"/>
      <c r="W39" s="1"/>
      <c r="X39" s="1"/>
      <c r="Y39" s="1"/>
      <c r="Z39" s="1"/>
      <c r="AA39" s="1"/>
      <c r="AB39" s="9"/>
      <c r="AC39" s="1"/>
      <c r="AD39" s="1"/>
      <c r="AE39" s="1"/>
      <c r="AF39" s="1"/>
      <c r="AG39" s="1"/>
      <c r="AI39" s="1"/>
    </row>
    <row r="40" spans="1:35" x14ac:dyDescent="0.25">
      <c r="A40" s="1" t="s">
        <v>1348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9"/>
      <c r="Q40" s="1"/>
      <c r="R40" s="1"/>
      <c r="S40" s="1"/>
      <c r="T40" s="1"/>
      <c r="U40" s="1"/>
      <c r="V40" s="9"/>
      <c r="W40" s="1"/>
      <c r="X40" s="1"/>
      <c r="Y40" s="1"/>
      <c r="Z40" s="1"/>
      <c r="AA40" s="1"/>
      <c r="AB40" s="9"/>
      <c r="AC40" s="1"/>
      <c r="AD40" s="1"/>
      <c r="AE40" s="1"/>
      <c r="AF40" s="1"/>
      <c r="AG40" s="1"/>
      <c r="AI40" s="1"/>
    </row>
    <row r="41" spans="1:35" x14ac:dyDescent="0.25">
      <c r="A41" s="1" t="s">
        <v>1349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9"/>
      <c r="Q41" s="1"/>
      <c r="R41" s="1"/>
      <c r="S41" s="1"/>
      <c r="T41" s="1"/>
      <c r="U41" s="1"/>
      <c r="V41" s="9"/>
      <c r="W41" s="1"/>
      <c r="X41" s="1"/>
      <c r="Y41" s="1"/>
      <c r="Z41" s="1"/>
      <c r="AA41" s="1"/>
      <c r="AB41" s="9"/>
      <c r="AC41" s="1"/>
      <c r="AD41" s="1"/>
      <c r="AE41" s="1"/>
      <c r="AF41" s="1"/>
      <c r="AG41" s="1"/>
      <c r="AI41" s="1"/>
    </row>
    <row r="42" spans="1:35" x14ac:dyDescent="0.25">
      <c r="A42" s="1" t="s">
        <v>1350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9"/>
      <c r="Q42" s="1"/>
      <c r="R42" s="1"/>
      <c r="S42" s="1"/>
      <c r="T42" s="1"/>
      <c r="U42" s="1"/>
      <c r="V42" s="9"/>
      <c r="W42" s="1"/>
      <c r="X42" s="1"/>
      <c r="Y42" s="1"/>
      <c r="Z42" s="1"/>
      <c r="AA42" s="1"/>
      <c r="AB42" s="9"/>
      <c r="AC42" s="1"/>
      <c r="AD42" s="1"/>
      <c r="AE42" s="1"/>
      <c r="AF42" s="1"/>
      <c r="AG42" s="1"/>
      <c r="AI42" s="1"/>
    </row>
    <row r="43" spans="1:35" x14ac:dyDescent="0.25">
      <c r="A43" s="1" t="s">
        <v>1351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9"/>
      <c r="Q43" s="1"/>
      <c r="R43" s="1"/>
      <c r="S43" s="1"/>
      <c r="T43" s="1"/>
      <c r="U43" s="1"/>
      <c r="V43" s="9"/>
      <c r="W43" s="1"/>
      <c r="X43" s="1"/>
      <c r="Y43" s="1"/>
      <c r="Z43" s="1"/>
      <c r="AA43" s="1"/>
      <c r="AB43" s="9"/>
      <c r="AC43" s="1"/>
      <c r="AD43" s="1"/>
      <c r="AE43" s="1"/>
      <c r="AF43" s="1"/>
      <c r="AG43" s="1"/>
      <c r="AI43" s="1"/>
    </row>
    <row r="44" spans="1:35" x14ac:dyDescent="0.25">
      <c r="A44" s="1" t="s">
        <v>1352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9"/>
      <c r="Q44" s="1"/>
      <c r="R44" s="1"/>
      <c r="S44" s="1"/>
      <c r="T44" s="1"/>
      <c r="U44" s="1"/>
      <c r="V44" s="9"/>
      <c r="W44" s="1"/>
      <c r="X44" s="1"/>
      <c r="Y44" s="1"/>
      <c r="Z44" s="1"/>
      <c r="AA44" s="1"/>
      <c r="AB44" s="9"/>
      <c r="AC44" s="1"/>
      <c r="AD44" s="1"/>
      <c r="AE44" s="1"/>
      <c r="AF44" s="1"/>
      <c r="AG44" s="1"/>
      <c r="AI44" s="1"/>
    </row>
    <row r="45" spans="1:35" x14ac:dyDescent="0.25">
      <c r="A45" s="1" t="s">
        <v>1353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9"/>
      <c r="Q45" s="1"/>
      <c r="R45" s="1"/>
      <c r="S45" s="1"/>
      <c r="T45" s="1"/>
      <c r="U45" s="1"/>
      <c r="V45" s="9"/>
      <c r="W45" s="1"/>
      <c r="X45" s="1"/>
      <c r="Y45" s="1"/>
      <c r="Z45" s="1"/>
      <c r="AA45" s="1"/>
      <c r="AB45" s="9"/>
      <c r="AC45" s="1"/>
      <c r="AD45" s="1"/>
      <c r="AE45" s="1"/>
      <c r="AF45" s="1"/>
      <c r="AG45" s="1"/>
      <c r="AI45" s="1"/>
    </row>
    <row r="46" spans="1:35" x14ac:dyDescent="0.25">
      <c r="A46" s="1" t="s">
        <v>1354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9"/>
      <c r="Q46" s="1"/>
      <c r="R46" s="1"/>
      <c r="S46" s="1"/>
      <c r="T46" s="1"/>
      <c r="U46" s="1"/>
      <c r="V46" s="9"/>
      <c r="W46" s="1"/>
      <c r="X46" s="1"/>
      <c r="Y46" s="1"/>
      <c r="Z46" s="1"/>
      <c r="AA46" s="1"/>
      <c r="AB46" s="9"/>
      <c r="AC46" s="1"/>
      <c r="AD46" s="1"/>
      <c r="AE46" s="1"/>
      <c r="AF46" s="1"/>
      <c r="AG46" s="1"/>
      <c r="AI46" s="1"/>
    </row>
    <row r="47" spans="1:35" x14ac:dyDescent="0.25">
      <c r="A47" s="1" t="s">
        <v>1355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9"/>
      <c r="Q47" s="1"/>
      <c r="R47" s="1"/>
      <c r="S47" s="1"/>
      <c r="T47" s="1"/>
      <c r="U47" s="1"/>
      <c r="V47" s="9"/>
      <c r="W47" s="1"/>
      <c r="X47" s="1"/>
      <c r="Y47" s="1"/>
      <c r="Z47" s="1"/>
      <c r="AA47" s="1"/>
      <c r="AB47" s="9"/>
      <c r="AC47" s="1"/>
      <c r="AD47" s="1"/>
      <c r="AE47" s="1"/>
      <c r="AF47" s="1"/>
      <c r="AG47" s="1"/>
      <c r="AI47" s="1"/>
    </row>
    <row r="48" spans="1:35" x14ac:dyDescent="0.25">
      <c r="A48" s="1" t="s">
        <v>1356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9"/>
      <c r="Q48" s="1"/>
      <c r="R48" s="1"/>
      <c r="S48" s="1"/>
      <c r="T48" s="1"/>
      <c r="U48" s="1"/>
      <c r="V48" s="9"/>
      <c r="W48" s="1"/>
      <c r="X48" s="1"/>
      <c r="Y48" s="1"/>
      <c r="Z48" s="1"/>
      <c r="AA48" s="1"/>
      <c r="AB48" s="9"/>
      <c r="AC48" s="1"/>
      <c r="AD48" s="1"/>
      <c r="AE48" s="1"/>
      <c r="AF48" s="1"/>
      <c r="AG48" s="1"/>
      <c r="AI48" s="1"/>
    </row>
    <row r="49" spans="1:35" x14ac:dyDescent="0.25">
      <c r="A49" s="1" t="s">
        <v>1357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9"/>
      <c r="Q49" s="1"/>
      <c r="R49" s="1"/>
      <c r="S49" s="1"/>
      <c r="T49" s="1"/>
      <c r="U49" s="1"/>
      <c r="V49" s="9"/>
      <c r="W49" s="1"/>
      <c r="X49" s="1"/>
      <c r="Y49" s="1"/>
      <c r="Z49" s="1"/>
      <c r="AA49" s="1"/>
      <c r="AB49" s="9"/>
      <c r="AC49" s="1"/>
      <c r="AD49" s="1"/>
      <c r="AE49" s="1"/>
      <c r="AF49" s="1"/>
      <c r="AG49" s="1"/>
      <c r="AI49" s="1"/>
    </row>
    <row r="50" spans="1:35" x14ac:dyDescent="0.25">
      <c r="A50" s="1" t="s">
        <v>1358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9"/>
      <c r="Q50" s="1"/>
      <c r="R50" s="1"/>
      <c r="S50" s="1"/>
      <c r="T50" s="1"/>
      <c r="U50" s="1"/>
      <c r="V50" s="9"/>
      <c r="W50" s="1"/>
      <c r="X50" s="1"/>
      <c r="Y50" s="1"/>
      <c r="Z50" s="1"/>
      <c r="AA50" s="1"/>
      <c r="AB50" s="9"/>
      <c r="AC50" s="1"/>
      <c r="AD50" s="1"/>
      <c r="AE50" s="1"/>
      <c r="AF50" s="1"/>
      <c r="AG50" s="1"/>
      <c r="AI50" s="1"/>
    </row>
    <row r="51" spans="1:35" x14ac:dyDescent="0.25">
      <c r="A51" s="1" t="s">
        <v>1359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9"/>
      <c r="Q51" s="1"/>
      <c r="R51" s="1"/>
      <c r="S51" s="1"/>
      <c r="T51" s="1"/>
      <c r="U51" s="1"/>
      <c r="V51" s="9"/>
      <c r="W51" s="1"/>
      <c r="X51" s="1"/>
      <c r="Y51" s="1"/>
      <c r="Z51" s="1"/>
      <c r="AA51" s="1"/>
      <c r="AB51" s="9"/>
      <c r="AC51" s="1"/>
      <c r="AD51" s="1"/>
      <c r="AE51" s="1"/>
      <c r="AF51" s="1"/>
      <c r="AG51" s="1"/>
      <c r="AI51" s="1"/>
    </row>
    <row r="52" spans="1:35" x14ac:dyDescent="0.25">
      <c r="A52" s="16" t="s">
        <v>5295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9"/>
      <c r="Q52" s="16"/>
      <c r="R52" s="16"/>
      <c r="S52" s="16"/>
      <c r="T52" s="16"/>
      <c r="U52" s="16"/>
      <c r="V52" s="9"/>
      <c r="W52" s="16"/>
      <c r="X52" s="16"/>
      <c r="Y52" s="16"/>
      <c r="Z52" s="16"/>
      <c r="AA52" s="16"/>
      <c r="AB52" s="9"/>
      <c r="AC52" s="16"/>
      <c r="AD52" s="16"/>
      <c r="AE52" s="16"/>
      <c r="AF52" s="16"/>
      <c r="AG52" s="16"/>
      <c r="AI52" s="16">
        <f>SUBTOTAL(103,Tabla31[ARCHIVO])</f>
        <v>1</v>
      </c>
    </row>
  </sheetData>
  <hyperlinks>
    <hyperlink ref="N2" r:id="rId1" xr:uid="{00000000-0004-0000-1B00-000000000000}"/>
    <hyperlink ref="T2" r:id="rId2" xr:uid="{00000000-0004-0000-1B00-000001000000}"/>
    <hyperlink ref="Z2" r:id="rId3" xr:uid="{00000000-0004-0000-1B00-000002000000}"/>
    <hyperlink ref="AF2" r:id="rId4" xr:uid="{00000000-0004-0000-1B00-000003000000}"/>
    <hyperlink ref="AI2" r:id="rId5" xr:uid="{00000000-0004-0000-1B00-000004000000}"/>
  </hyperlinks>
  <pageMargins left="0.7" right="0.7" top="0.75" bottom="0.75" header="0.3" footer="0.3"/>
  <pageSetup paperSize="9" orientation="portrait" r:id="rId6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B00-000000000000}">
          <x14:formula1>
            <xm:f>DATOS!$B$4:$B$8</xm:f>
          </x14:formula1>
          <xm:sqref>F2:F51</xm:sqref>
        </x14:dataValidation>
        <x14:dataValidation type="list" allowBlank="1" showInputMessage="1" showErrorMessage="1" xr:uid="{00000000-0002-0000-1B00-000001000000}">
          <x14:formula1>
            <xm:f>DATOS!$B$20:$B$23</xm:f>
          </x14:formula1>
          <xm:sqref>G2:G51 G53:G1048576</xm:sqref>
        </x14:dataValidation>
        <x14:dataValidation type="list" allowBlank="1" showInputMessage="1" showErrorMessage="1" xr:uid="{00000000-0002-0000-1B00-000002000000}">
          <x14:formula1>
            <xm:f>DATOS!$B$13:$B$16</xm:f>
          </x14:formula1>
          <xm:sqref>H2:H51 H53:H1048576</xm:sqref>
        </x14:dataValidation>
        <x14:dataValidation type="list" allowBlank="1" showInputMessage="1" showErrorMessage="1" xr:uid="{00000000-0002-0000-1B00-000003000000}">
          <x14:formula1>
            <xm:f>DATOS!$E$7:$E$38</xm:f>
          </x14:formula1>
          <xm:sqref>J2:J51 J53:J1048576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6:X186"/>
  <sheetViews>
    <sheetView topLeftCell="A45" zoomScale="46" zoomScaleNormal="46" workbookViewId="0">
      <selection activeCell="X93" sqref="X93"/>
    </sheetView>
  </sheetViews>
  <sheetFormatPr baseColWidth="10" defaultRowHeight="15" x14ac:dyDescent="0.25"/>
  <cols>
    <col min="2" max="2" width="47.85546875" bestFit="1" customWidth="1"/>
    <col min="3" max="3" width="35" bestFit="1" customWidth="1"/>
    <col min="4" max="4" width="28.42578125" bestFit="1" customWidth="1"/>
    <col min="5" max="5" width="34.140625" customWidth="1"/>
    <col min="6" max="6" width="25.5703125" customWidth="1"/>
    <col min="7" max="7" width="31" customWidth="1"/>
    <col min="8" max="8" width="60.28515625" customWidth="1"/>
    <col min="9" max="9" width="19.42578125" customWidth="1"/>
    <col min="10" max="10" width="12.5703125" customWidth="1"/>
    <col min="11" max="11" width="11.7109375" customWidth="1"/>
    <col min="14" max="14" width="27.5703125" bestFit="1" customWidth="1"/>
    <col min="15" max="16" width="25.5703125" customWidth="1"/>
    <col min="17" max="18" width="27" customWidth="1"/>
    <col min="19" max="19" width="28.42578125" customWidth="1"/>
    <col min="20" max="20" width="34.42578125" customWidth="1"/>
    <col min="21" max="21" width="5.42578125" customWidth="1"/>
    <col min="22" max="22" width="27" customWidth="1"/>
    <col min="23" max="23" width="28.42578125" customWidth="1"/>
    <col min="24" max="24" width="57" customWidth="1"/>
    <col min="25" max="25" width="54.42578125" customWidth="1"/>
    <col min="26" max="26" width="43.7109375" customWidth="1"/>
    <col min="27" max="27" width="53.5703125" customWidth="1"/>
    <col min="28" max="28" width="49" customWidth="1"/>
    <col min="29" max="29" width="46.28515625" customWidth="1"/>
    <col min="30" max="30" width="54" customWidth="1"/>
    <col min="31" max="31" width="39.5703125" customWidth="1"/>
    <col min="32" max="32" width="42.7109375" customWidth="1"/>
    <col min="33" max="33" width="40.140625" customWidth="1"/>
    <col min="34" max="34" width="52.5703125" customWidth="1"/>
    <col min="35" max="35" width="41.140625" customWidth="1"/>
    <col min="36" max="36" width="32.140625" customWidth="1"/>
    <col min="37" max="37" width="46" customWidth="1"/>
  </cols>
  <sheetData>
    <row r="6" spans="2:24" ht="18.75" x14ac:dyDescent="0.3">
      <c r="B6" s="48"/>
      <c r="C6" s="48"/>
      <c r="S6" s="48"/>
      <c r="T6" s="48"/>
    </row>
    <row r="7" spans="2:24" ht="18.75" x14ac:dyDescent="0.3">
      <c r="B7" s="47" t="s">
        <v>2</v>
      </c>
      <c r="C7" s="48" t="s">
        <v>5198</v>
      </c>
      <c r="T7" s="50"/>
    </row>
    <row r="8" spans="2:24" ht="18.75" x14ac:dyDescent="0.3">
      <c r="B8" s="49" t="s">
        <v>5176</v>
      </c>
      <c r="C8" s="50">
        <v>4</v>
      </c>
      <c r="T8" s="50"/>
    </row>
    <row r="9" spans="2:24" ht="18.75" x14ac:dyDescent="0.3">
      <c r="B9" s="49" t="s">
        <v>4863</v>
      </c>
      <c r="C9" s="50">
        <v>165</v>
      </c>
      <c r="T9" s="50"/>
    </row>
    <row r="10" spans="2:24" ht="18.75" x14ac:dyDescent="0.3">
      <c r="B10" s="49" t="s">
        <v>4864</v>
      </c>
      <c r="C10" s="50">
        <v>57</v>
      </c>
      <c r="T10" s="50"/>
    </row>
    <row r="11" spans="2:24" ht="18.75" x14ac:dyDescent="0.3">
      <c r="B11" s="49" t="s">
        <v>4865</v>
      </c>
      <c r="C11" s="50">
        <v>147</v>
      </c>
      <c r="T11" s="50"/>
    </row>
    <row r="12" spans="2:24" ht="18.75" x14ac:dyDescent="0.3">
      <c r="B12" s="49" t="s">
        <v>4867</v>
      </c>
      <c r="C12" s="50">
        <v>54</v>
      </c>
      <c r="T12" s="50"/>
    </row>
    <row r="13" spans="2:24" ht="18.75" x14ac:dyDescent="0.3">
      <c r="B13" s="49" t="s">
        <v>5177</v>
      </c>
      <c r="C13" s="50">
        <v>427</v>
      </c>
      <c r="T13" s="50"/>
    </row>
    <row r="14" spans="2:24" x14ac:dyDescent="0.25">
      <c r="B14" s="18"/>
      <c r="C14" s="45"/>
      <c r="W14" s="18"/>
      <c r="X14" s="45"/>
    </row>
    <row r="15" spans="2:24" x14ac:dyDescent="0.25">
      <c r="B15" s="18"/>
      <c r="C15" s="45"/>
      <c r="W15" s="18"/>
      <c r="X15" s="45"/>
    </row>
    <row r="16" spans="2:24" ht="18.75" x14ac:dyDescent="0.3">
      <c r="W16" s="48"/>
      <c r="X16" s="48"/>
    </row>
    <row r="17" spans="23:24" ht="18.75" x14ac:dyDescent="0.3">
      <c r="W17" s="49"/>
      <c r="X17" s="50"/>
    </row>
    <row r="18" spans="23:24" ht="18.75" x14ac:dyDescent="0.3">
      <c r="W18" s="49"/>
      <c r="X18" s="50"/>
    </row>
    <row r="19" spans="23:24" ht="18.75" x14ac:dyDescent="0.3">
      <c r="W19" s="49"/>
      <c r="X19" s="50"/>
    </row>
    <row r="20" spans="23:24" ht="18.75" x14ac:dyDescent="0.3">
      <c r="W20" s="49"/>
      <c r="X20" s="50"/>
    </row>
    <row r="21" spans="23:24" ht="18.75" x14ac:dyDescent="0.3">
      <c r="W21" s="49"/>
      <c r="X21" s="50"/>
    </row>
    <row r="22" spans="23:24" ht="18.75" x14ac:dyDescent="0.3">
      <c r="W22" s="49"/>
      <c r="X22" s="50"/>
    </row>
    <row r="23" spans="23:24" ht="18.75" x14ac:dyDescent="0.3">
      <c r="W23" s="49"/>
      <c r="X23" s="50"/>
    </row>
    <row r="33" spans="2:24" ht="18.75" x14ac:dyDescent="0.3">
      <c r="T33" s="50"/>
    </row>
    <row r="34" spans="2:24" ht="18.75" x14ac:dyDescent="0.3">
      <c r="B34" s="47" t="s">
        <v>4858</v>
      </c>
      <c r="C34" s="48" t="s">
        <v>5198</v>
      </c>
      <c r="T34" s="50"/>
    </row>
    <row r="35" spans="2:24" ht="18.75" x14ac:dyDescent="0.3">
      <c r="B35" s="49" t="s">
        <v>5176</v>
      </c>
      <c r="C35" s="50">
        <v>4</v>
      </c>
      <c r="T35" s="50"/>
    </row>
    <row r="36" spans="2:24" ht="18.75" x14ac:dyDescent="0.3">
      <c r="B36" s="49" t="s">
        <v>4875</v>
      </c>
      <c r="C36" s="50">
        <v>160</v>
      </c>
      <c r="T36" s="50"/>
    </row>
    <row r="37" spans="2:24" ht="18.75" x14ac:dyDescent="0.3">
      <c r="B37" s="49" t="s">
        <v>4874</v>
      </c>
      <c r="C37" s="50">
        <v>105</v>
      </c>
      <c r="T37" s="50"/>
    </row>
    <row r="38" spans="2:24" ht="18.75" x14ac:dyDescent="0.3">
      <c r="B38" s="49" t="s">
        <v>4872</v>
      </c>
      <c r="C38" s="50">
        <v>55</v>
      </c>
      <c r="T38" s="50"/>
    </row>
    <row r="39" spans="2:24" ht="18.75" x14ac:dyDescent="0.3">
      <c r="B39" s="49" t="s">
        <v>4873</v>
      </c>
      <c r="C39" s="50">
        <v>103</v>
      </c>
      <c r="T39" s="50"/>
    </row>
    <row r="40" spans="2:24" ht="18.75" x14ac:dyDescent="0.3">
      <c r="B40" s="49" t="s">
        <v>5177</v>
      </c>
      <c r="C40" s="50">
        <v>427</v>
      </c>
      <c r="T40" s="50"/>
    </row>
    <row r="41" spans="2:24" ht="18.75" x14ac:dyDescent="0.3">
      <c r="B41" s="49"/>
      <c r="C41" s="50"/>
      <c r="T41" s="50"/>
    </row>
    <row r="42" spans="2:24" ht="18.75" x14ac:dyDescent="0.3">
      <c r="B42" s="49"/>
      <c r="C42" s="50"/>
      <c r="T42" s="50"/>
      <c r="X42" s="50"/>
    </row>
    <row r="43" spans="2:24" ht="18.75" x14ac:dyDescent="0.3">
      <c r="B43" s="18"/>
      <c r="C43" s="45"/>
      <c r="T43" s="50"/>
      <c r="X43" s="50"/>
    </row>
    <row r="44" spans="2:24" ht="18.75" x14ac:dyDescent="0.3">
      <c r="B44" s="18"/>
      <c r="C44" s="45"/>
      <c r="T44" s="50"/>
      <c r="X44" s="50"/>
    </row>
    <row r="45" spans="2:24" ht="18.75" x14ac:dyDescent="0.3">
      <c r="T45" s="50"/>
      <c r="X45" s="50"/>
    </row>
    <row r="46" spans="2:24" ht="18.75" x14ac:dyDescent="0.3">
      <c r="T46" s="50"/>
      <c r="X46" s="50"/>
    </row>
    <row r="47" spans="2:24" ht="18.75" x14ac:dyDescent="0.3">
      <c r="T47" s="50"/>
      <c r="X47" s="50"/>
    </row>
    <row r="48" spans="2:24" ht="18.75" x14ac:dyDescent="0.3">
      <c r="T48" s="50"/>
      <c r="X48" s="50"/>
    </row>
    <row r="49" spans="18:24" ht="18.75" x14ac:dyDescent="0.3">
      <c r="T49" s="50"/>
      <c r="X49" s="50"/>
    </row>
    <row r="50" spans="18:24" ht="18.75" x14ac:dyDescent="0.3">
      <c r="R50" s="47" t="s">
        <v>4860</v>
      </c>
      <c r="S50" s="48" t="s">
        <v>5195</v>
      </c>
      <c r="T50" s="50"/>
      <c r="X50" s="50"/>
    </row>
    <row r="51" spans="18:24" ht="18.75" x14ac:dyDescent="0.3">
      <c r="R51" s="49" t="s">
        <v>4953</v>
      </c>
      <c r="S51" s="50">
        <v>8</v>
      </c>
      <c r="T51" s="50"/>
      <c r="X51" s="50"/>
    </row>
    <row r="52" spans="18:24" ht="18.75" x14ac:dyDescent="0.3">
      <c r="R52" s="49" t="s">
        <v>3312</v>
      </c>
      <c r="S52" s="50">
        <v>3</v>
      </c>
      <c r="T52" s="50"/>
      <c r="X52" s="50"/>
    </row>
    <row r="53" spans="18:24" ht="18.75" x14ac:dyDescent="0.3">
      <c r="R53" s="49" t="s">
        <v>4925</v>
      </c>
      <c r="S53" s="50">
        <v>17</v>
      </c>
      <c r="T53" s="50"/>
      <c r="X53" s="50"/>
    </row>
    <row r="54" spans="18:24" ht="18.75" x14ac:dyDescent="0.3">
      <c r="R54" s="49" t="s">
        <v>5009</v>
      </c>
      <c r="S54" s="50">
        <v>18</v>
      </c>
      <c r="T54" s="50"/>
      <c r="X54" s="50"/>
    </row>
    <row r="55" spans="18:24" ht="18.75" x14ac:dyDescent="0.3">
      <c r="R55" s="49" t="s">
        <v>4921</v>
      </c>
      <c r="S55" s="50">
        <v>18</v>
      </c>
      <c r="T55" s="50"/>
      <c r="X55" s="50"/>
    </row>
    <row r="56" spans="18:24" ht="18.75" x14ac:dyDescent="0.3">
      <c r="R56" s="49" t="s">
        <v>5020</v>
      </c>
      <c r="S56" s="50">
        <v>8</v>
      </c>
      <c r="T56" s="50"/>
      <c r="X56" s="50"/>
    </row>
    <row r="57" spans="18:24" ht="18.75" x14ac:dyDescent="0.3">
      <c r="R57" s="49" t="s">
        <v>4918</v>
      </c>
      <c r="S57" s="50">
        <v>31</v>
      </c>
      <c r="T57" s="50"/>
      <c r="X57" s="50"/>
    </row>
    <row r="58" spans="18:24" ht="18.75" x14ac:dyDescent="0.3">
      <c r="R58" s="49" t="s">
        <v>4945</v>
      </c>
      <c r="S58" s="50">
        <v>6</v>
      </c>
      <c r="T58" s="50"/>
      <c r="X58" s="50"/>
    </row>
    <row r="59" spans="18:24" ht="18.75" x14ac:dyDescent="0.3">
      <c r="R59" s="49" t="s">
        <v>4926</v>
      </c>
      <c r="S59" s="50">
        <v>38</v>
      </c>
      <c r="T59" s="50"/>
      <c r="X59" s="50"/>
    </row>
    <row r="60" spans="18:24" ht="18.75" x14ac:dyDescent="0.3">
      <c r="R60" s="49" t="s">
        <v>5091</v>
      </c>
      <c r="S60" s="50">
        <v>1</v>
      </c>
      <c r="X60" s="50"/>
    </row>
    <row r="61" spans="18:24" ht="18.75" x14ac:dyDescent="0.3">
      <c r="R61" s="49" t="s">
        <v>5099</v>
      </c>
      <c r="S61" s="50">
        <v>3</v>
      </c>
      <c r="X61" s="50"/>
    </row>
    <row r="62" spans="18:24" ht="18.75" x14ac:dyDescent="0.3">
      <c r="R62" s="49" t="s">
        <v>5023</v>
      </c>
      <c r="S62" s="50">
        <v>6</v>
      </c>
      <c r="X62" s="50"/>
    </row>
    <row r="63" spans="18:24" ht="18.75" x14ac:dyDescent="0.3">
      <c r="R63" s="49" t="s">
        <v>4947</v>
      </c>
      <c r="S63" s="50">
        <v>3</v>
      </c>
      <c r="X63" s="50"/>
    </row>
    <row r="64" spans="18:24" ht="18.75" x14ac:dyDescent="0.3">
      <c r="R64" s="49" t="s">
        <v>5063</v>
      </c>
      <c r="S64" s="50">
        <v>2</v>
      </c>
      <c r="X64" s="50"/>
    </row>
    <row r="65" spans="2:24" ht="18.75" x14ac:dyDescent="0.3">
      <c r="R65" s="49" t="s">
        <v>4916</v>
      </c>
      <c r="S65" s="50">
        <v>11</v>
      </c>
      <c r="X65" s="45"/>
    </row>
    <row r="66" spans="2:24" ht="18.75" x14ac:dyDescent="0.3">
      <c r="R66" s="49" t="s">
        <v>4948</v>
      </c>
      <c r="S66" s="50">
        <v>13</v>
      </c>
      <c r="X66" s="45"/>
    </row>
    <row r="67" spans="2:24" ht="18.75" x14ac:dyDescent="0.3">
      <c r="B67" s="47" t="s">
        <v>4859</v>
      </c>
      <c r="C67" s="48" t="s">
        <v>5200</v>
      </c>
      <c r="R67" s="49" t="s">
        <v>5077</v>
      </c>
      <c r="S67" s="50">
        <v>1</v>
      </c>
    </row>
    <row r="68" spans="2:24" ht="18.75" x14ac:dyDescent="0.3">
      <c r="B68" s="49" t="s">
        <v>5176</v>
      </c>
      <c r="C68" s="50">
        <v>4</v>
      </c>
      <c r="R68" s="49" t="s">
        <v>4920</v>
      </c>
      <c r="S68" s="50">
        <v>61</v>
      </c>
    </row>
    <row r="69" spans="2:24" ht="18.75" x14ac:dyDescent="0.3">
      <c r="B69" s="49" t="s">
        <v>4871</v>
      </c>
      <c r="C69" s="50">
        <v>14</v>
      </c>
      <c r="R69" s="49" t="s">
        <v>2297</v>
      </c>
      <c r="S69" s="50">
        <v>2</v>
      </c>
    </row>
    <row r="70" spans="2:24" ht="18.75" x14ac:dyDescent="0.3">
      <c r="B70" s="49" t="s">
        <v>4869</v>
      </c>
      <c r="C70" s="50">
        <v>388</v>
      </c>
      <c r="R70" s="49" t="s">
        <v>5179</v>
      </c>
      <c r="S70" s="50">
        <v>4</v>
      </c>
    </row>
    <row r="71" spans="2:24" ht="18.75" x14ac:dyDescent="0.3">
      <c r="B71" s="49" t="s">
        <v>4868</v>
      </c>
      <c r="C71" s="50">
        <v>17</v>
      </c>
      <c r="R71" s="49" t="s">
        <v>5012</v>
      </c>
      <c r="S71" s="50">
        <v>1</v>
      </c>
    </row>
    <row r="72" spans="2:24" ht="18.75" x14ac:dyDescent="0.3">
      <c r="B72" s="49" t="s">
        <v>4870</v>
      </c>
      <c r="C72" s="50">
        <v>4</v>
      </c>
      <c r="R72" s="49" t="s">
        <v>5098</v>
      </c>
      <c r="S72" s="50">
        <v>1</v>
      </c>
    </row>
    <row r="73" spans="2:24" ht="18.75" x14ac:dyDescent="0.3">
      <c r="B73" s="49" t="s">
        <v>5177</v>
      </c>
      <c r="C73" s="50">
        <v>427</v>
      </c>
      <c r="R73" s="49" t="s">
        <v>4949</v>
      </c>
      <c r="S73" s="50">
        <v>15</v>
      </c>
    </row>
    <row r="74" spans="2:24" ht="18.75" x14ac:dyDescent="0.3">
      <c r="R74" s="49" t="s">
        <v>5006</v>
      </c>
      <c r="S74" s="50">
        <v>3</v>
      </c>
    </row>
    <row r="75" spans="2:24" ht="18.75" x14ac:dyDescent="0.3">
      <c r="R75" s="49" t="s">
        <v>5154</v>
      </c>
      <c r="S75" s="50">
        <v>1</v>
      </c>
      <c r="V75" s="18"/>
      <c r="W75" s="45"/>
    </row>
    <row r="76" spans="2:24" ht="18.75" x14ac:dyDescent="0.3">
      <c r="R76" s="49" t="s">
        <v>4923</v>
      </c>
      <c r="S76" s="50">
        <v>21</v>
      </c>
      <c r="V76" s="18"/>
      <c r="W76" s="45"/>
    </row>
    <row r="77" spans="2:24" ht="18.75" x14ac:dyDescent="0.3">
      <c r="R77" s="49" t="s">
        <v>5156</v>
      </c>
      <c r="S77" s="50">
        <v>1</v>
      </c>
      <c r="V77" s="18"/>
      <c r="W77" s="45"/>
    </row>
    <row r="78" spans="2:24" ht="18.75" x14ac:dyDescent="0.3">
      <c r="R78" s="49" t="s">
        <v>4922</v>
      </c>
      <c r="S78" s="50">
        <v>11</v>
      </c>
      <c r="V78" s="18"/>
      <c r="W78" s="45"/>
    </row>
    <row r="79" spans="2:24" ht="18.75" x14ac:dyDescent="0.3">
      <c r="R79" s="49" t="s">
        <v>5013</v>
      </c>
      <c r="S79" s="50">
        <v>7</v>
      </c>
      <c r="V79" s="18"/>
      <c r="W79" s="45"/>
    </row>
    <row r="80" spans="2:24" ht="18.75" x14ac:dyDescent="0.3">
      <c r="R80" s="49" t="s">
        <v>5103</v>
      </c>
      <c r="S80" s="50">
        <v>2</v>
      </c>
      <c r="V80" s="18"/>
      <c r="W80" s="45"/>
    </row>
    <row r="81" spans="2:23" ht="18.75" x14ac:dyDescent="0.3">
      <c r="R81" s="49" t="s">
        <v>4919</v>
      </c>
      <c r="S81" s="50">
        <v>6</v>
      </c>
      <c r="V81" s="18"/>
      <c r="W81" s="45"/>
    </row>
    <row r="82" spans="2:23" ht="18.75" x14ac:dyDescent="0.3">
      <c r="R82" s="49" t="s">
        <v>5018</v>
      </c>
      <c r="S82" s="50">
        <v>1</v>
      </c>
      <c r="V82" s="18"/>
      <c r="W82" s="45"/>
    </row>
    <row r="83" spans="2:23" ht="18.75" x14ac:dyDescent="0.3">
      <c r="R83" s="49" t="s">
        <v>5002</v>
      </c>
      <c r="S83" s="50">
        <v>3</v>
      </c>
      <c r="V83" s="18"/>
      <c r="W83" s="45"/>
    </row>
    <row r="84" spans="2:23" ht="18.75" x14ac:dyDescent="0.3">
      <c r="R84" s="49" t="s">
        <v>5015</v>
      </c>
      <c r="S84" s="50">
        <v>1</v>
      </c>
      <c r="V84" s="18"/>
      <c r="W84" s="45"/>
    </row>
    <row r="85" spans="2:23" ht="18.75" x14ac:dyDescent="0.3">
      <c r="R85" s="49" t="s">
        <v>4927</v>
      </c>
      <c r="S85" s="50">
        <v>3</v>
      </c>
      <c r="V85" s="18"/>
      <c r="W85" s="45"/>
    </row>
    <row r="86" spans="2:23" ht="18.75" x14ac:dyDescent="0.3">
      <c r="R86" s="49" t="s">
        <v>4933</v>
      </c>
      <c r="S86" s="50">
        <v>37</v>
      </c>
      <c r="V86" s="18"/>
      <c r="W86" s="45"/>
    </row>
    <row r="87" spans="2:23" ht="18.75" x14ac:dyDescent="0.3">
      <c r="B87" s="18"/>
      <c r="C87" s="45"/>
      <c r="R87" s="49" t="s">
        <v>4917</v>
      </c>
      <c r="S87" s="50">
        <v>11</v>
      </c>
      <c r="V87" s="18"/>
      <c r="W87" s="45"/>
    </row>
    <row r="88" spans="2:23" ht="18.75" x14ac:dyDescent="0.3">
      <c r="B88" s="18"/>
      <c r="C88" s="45"/>
      <c r="R88" s="49" t="s">
        <v>5157</v>
      </c>
      <c r="S88" s="50">
        <v>2</v>
      </c>
      <c r="V88" s="18"/>
      <c r="W88" s="45"/>
    </row>
    <row r="89" spans="2:23" ht="18.75" x14ac:dyDescent="0.3">
      <c r="B89" s="18"/>
      <c r="C89" s="45"/>
      <c r="R89" s="49" t="s">
        <v>5014</v>
      </c>
      <c r="S89" s="50">
        <v>6</v>
      </c>
      <c r="V89" s="18"/>
      <c r="W89" s="45"/>
    </row>
    <row r="90" spans="2:23" ht="18.75" x14ac:dyDescent="0.3">
      <c r="R90" s="49" t="s">
        <v>4956</v>
      </c>
      <c r="S90" s="50">
        <v>5</v>
      </c>
      <c r="V90" s="18"/>
      <c r="W90" s="45"/>
    </row>
    <row r="91" spans="2:23" ht="18.75" x14ac:dyDescent="0.3">
      <c r="F91" s="18"/>
      <c r="G91" s="45"/>
      <c r="R91" s="49" t="s">
        <v>4936</v>
      </c>
      <c r="S91" s="50">
        <v>6</v>
      </c>
      <c r="V91" s="18"/>
      <c r="W91" s="45"/>
    </row>
    <row r="92" spans="2:23" ht="18.75" x14ac:dyDescent="0.3">
      <c r="R92" s="49" t="s">
        <v>5010</v>
      </c>
      <c r="S92" s="50">
        <v>23</v>
      </c>
      <c r="V92" s="18"/>
      <c r="W92" s="45"/>
    </row>
    <row r="93" spans="2:23" ht="18.75" x14ac:dyDescent="0.3">
      <c r="R93" s="49" t="s">
        <v>5080</v>
      </c>
      <c r="S93" s="50">
        <v>2</v>
      </c>
      <c r="V93" s="18"/>
      <c r="W93" s="45"/>
    </row>
    <row r="94" spans="2:23" ht="18.75" x14ac:dyDescent="0.3">
      <c r="B94" s="47" t="s">
        <v>5196</v>
      </c>
      <c r="C94" s="48" t="s">
        <v>5198</v>
      </c>
      <c r="R94" s="49" t="s">
        <v>5176</v>
      </c>
      <c r="S94" s="50">
        <v>4</v>
      </c>
      <c r="V94" s="18"/>
      <c r="W94" s="45"/>
    </row>
    <row r="95" spans="2:23" ht="18.75" x14ac:dyDescent="0.3">
      <c r="B95" s="49" t="s">
        <v>5176</v>
      </c>
      <c r="C95" s="50">
        <v>4</v>
      </c>
      <c r="R95" s="49" t="s">
        <v>5177</v>
      </c>
      <c r="S95" s="50">
        <v>427</v>
      </c>
      <c r="V95" s="18"/>
      <c r="W95" s="45"/>
    </row>
    <row r="96" spans="2:23" ht="18.75" x14ac:dyDescent="0.3">
      <c r="B96" s="49" t="s">
        <v>4884</v>
      </c>
      <c r="C96" s="50">
        <v>1</v>
      </c>
      <c r="V96" s="18"/>
      <c r="W96" s="45"/>
    </row>
    <row r="97" spans="2:23" ht="18.75" x14ac:dyDescent="0.3">
      <c r="B97" s="49" t="s">
        <v>4896</v>
      </c>
      <c r="C97" s="50">
        <v>421</v>
      </c>
      <c r="V97" s="18"/>
      <c r="W97" s="45"/>
    </row>
    <row r="98" spans="2:23" ht="18.75" x14ac:dyDescent="0.3">
      <c r="B98" s="49" t="s">
        <v>4905</v>
      </c>
      <c r="C98" s="50">
        <v>1</v>
      </c>
      <c r="V98" s="18"/>
      <c r="W98" s="45"/>
    </row>
    <row r="99" spans="2:23" ht="18.75" x14ac:dyDescent="0.3">
      <c r="B99" s="49" t="s">
        <v>5177</v>
      </c>
      <c r="C99" s="50">
        <v>427</v>
      </c>
      <c r="N99" s="18"/>
      <c r="O99" s="45"/>
      <c r="V99" s="18"/>
      <c r="W99" s="45"/>
    </row>
    <row r="100" spans="2:23" x14ac:dyDescent="0.25">
      <c r="N100" s="18"/>
      <c r="O100" s="45"/>
      <c r="V100" s="18"/>
      <c r="W100" s="45"/>
    </row>
    <row r="101" spans="2:23" x14ac:dyDescent="0.25">
      <c r="N101" s="18"/>
      <c r="O101" s="45"/>
      <c r="V101" s="18"/>
      <c r="W101" s="45"/>
    </row>
    <row r="102" spans="2:23" x14ac:dyDescent="0.25">
      <c r="N102" s="18"/>
      <c r="O102" s="45"/>
      <c r="V102" s="18"/>
      <c r="W102" s="45"/>
    </row>
    <row r="103" spans="2:23" x14ac:dyDescent="0.25">
      <c r="N103" s="18"/>
      <c r="O103" s="45"/>
      <c r="V103" s="18"/>
      <c r="W103" s="45"/>
    </row>
    <row r="104" spans="2:23" x14ac:dyDescent="0.25">
      <c r="N104" s="18"/>
      <c r="O104" s="45"/>
      <c r="V104" s="18"/>
      <c r="W104" s="45"/>
    </row>
    <row r="105" spans="2:23" x14ac:dyDescent="0.25">
      <c r="N105" s="18"/>
      <c r="O105" s="45"/>
      <c r="V105" s="18"/>
      <c r="W105" s="45"/>
    </row>
    <row r="106" spans="2:23" x14ac:dyDescent="0.25">
      <c r="N106" s="18"/>
      <c r="O106" s="45"/>
      <c r="V106" s="18"/>
      <c r="W106" s="45"/>
    </row>
    <row r="107" spans="2:23" x14ac:dyDescent="0.25">
      <c r="N107" s="18"/>
      <c r="O107" s="45"/>
      <c r="V107" s="18"/>
      <c r="W107" s="45"/>
    </row>
    <row r="108" spans="2:23" x14ac:dyDescent="0.25">
      <c r="B108" s="18"/>
      <c r="N108" s="18"/>
      <c r="O108" s="45"/>
      <c r="V108" s="18"/>
      <c r="W108" s="45"/>
    </row>
    <row r="109" spans="2:23" x14ac:dyDescent="0.25">
      <c r="B109" s="18"/>
      <c r="N109" s="18"/>
      <c r="O109" s="45"/>
      <c r="V109" s="18"/>
      <c r="W109" s="45"/>
    </row>
    <row r="110" spans="2:23" x14ac:dyDescent="0.25">
      <c r="B110" s="18"/>
      <c r="F110" s="18"/>
      <c r="G110" s="45"/>
      <c r="N110" s="18"/>
      <c r="O110" s="45"/>
      <c r="V110" s="18"/>
      <c r="W110" s="45"/>
    </row>
    <row r="111" spans="2:23" x14ac:dyDescent="0.25">
      <c r="B111" s="18"/>
      <c r="F111" s="18"/>
      <c r="G111" s="45"/>
      <c r="N111" s="18"/>
      <c r="O111" s="45"/>
      <c r="V111" s="18"/>
      <c r="W111" s="45"/>
    </row>
    <row r="112" spans="2:23" x14ac:dyDescent="0.25">
      <c r="B112" s="18"/>
      <c r="F112" s="18"/>
      <c r="G112" s="45"/>
      <c r="N112" s="18"/>
      <c r="O112" s="45"/>
      <c r="V112" s="18"/>
      <c r="W112" s="45"/>
    </row>
    <row r="113" spans="2:23" x14ac:dyDescent="0.25">
      <c r="B113" s="18"/>
      <c r="F113" s="18"/>
      <c r="G113" s="45"/>
      <c r="N113" s="18"/>
      <c r="O113" s="45"/>
      <c r="V113" s="18"/>
      <c r="W113" s="45"/>
    </row>
    <row r="114" spans="2:23" x14ac:dyDescent="0.25">
      <c r="B114" s="18"/>
      <c r="F114" s="18"/>
      <c r="G114" s="45"/>
      <c r="N114" s="18"/>
      <c r="O114" s="45"/>
      <c r="V114" s="18"/>
      <c r="W114" s="45"/>
    </row>
    <row r="115" spans="2:23" x14ac:dyDescent="0.25">
      <c r="B115" s="18"/>
      <c r="F115" s="18"/>
      <c r="G115" s="45"/>
      <c r="N115" s="18"/>
      <c r="O115" s="45"/>
      <c r="V115" s="18"/>
      <c r="W115" s="45"/>
    </row>
    <row r="116" spans="2:23" x14ac:dyDescent="0.25">
      <c r="B116" s="18"/>
      <c r="F116" s="18"/>
      <c r="G116" s="45"/>
      <c r="N116" s="18"/>
      <c r="O116" s="45"/>
      <c r="V116" s="18"/>
      <c r="W116" s="45"/>
    </row>
    <row r="117" spans="2:23" x14ac:dyDescent="0.25">
      <c r="F117" s="18"/>
      <c r="G117" s="45"/>
      <c r="N117" s="18"/>
      <c r="O117" s="45"/>
      <c r="V117" s="18"/>
      <c r="W117" s="45"/>
    </row>
    <row r="118" spans="2:23" x14ac:dyDescent="0.25">
      <c r="B118" s="18"/>
      <c r="C118" s="45"/>
      <c r="F118" s="18"/>
      <c r="G118" s="45"/>
      <c r="N118" s="18"/>
      <c r="O118" s="45"/>
      <c r="V118" s="18"/>
      <c r="W118" s="45"/>
    </row>
    <row r="119" spans="2:23" x14ac:dyDescent="0.25">
      <c r="B119" s="18"/>
      <c r="C119" s="45"/>
      <c r="N119" s="18"/>
      <c r="O119" s="45"/>
      <c r="V119" s="18"/>
      <c r="W119" s="45"/>
    </row>
    <row r="120" spans="2:23" x14ac:dyDescent="0.25">
      <c r="B120" s="18"/>
      <c r="C120" s="45"/>
      <c r="N120" s="18"/>
      <c r="O120" s="45"/>
      <c r="V120" s="18"/>
      <c r="W120" s="45"/>
    </row>
    <row r="121" spans="2:23" ht="18.75" x14ac:dyDescent="0.3">
      <c r="B121" s="47" t="s">
        <v>4862</v>
      </c>
      <c r="C121" s="48" t="s">
        <v>5198</v>
      </c>
      <c r="N121" s="18"/>
      <c r="O121" s="45"/>
      <c r="V121" s="18"/>
      <c r="W121" s="45"/>
    </row>
    <row r="122" spans="2:23" ht="18.75" x14ac:dyDescent="0.3">
      <c r="B122" s="49" t="s">
        <v>5176</v>
      </c>
      <c r="C122" s="50">
        <v>4</v>
      </c>
      <c r="N122" s="18"/>
      <c r="O122" s="45"/>
      <c r="V122" s="18"/>
      <c r="W122" s="45"/>
    </row>
    <row r="123" spans="2:23" ht="18.75" x14ac:dyDescent="0.3">
      <c r="B123" s="49" t="s">
        <v>5199</v>
      </c>
      <c r="C123" s="50">
        <v>1</v>
      </c>
      <c r="N123" s="18"/>
      <c r="O123" s="45"/>
      <c r="V123" s="18"/>
      <c r="W123" s="45"/>
    </row>
    <row r="124" spans="2:23" ht="18.75" x14ac:dyDescent="0.3">
      <c r="B124" s="49" t="s">
        <v>4924</v>
      </c>
      <c r="C124" s="50">
        <v>64</v>
      </c>
      <c r="N124" s="18"/>
      <c r="O124" s="45"/>
      <c r="V124" s="18"/>
      <c r="W124" s="45"/>
    </row>
    <row r="125" spans="2:23" ht="18.75" x14ac:dyDescent="0.3">
      <c r="B125" s="49" t="s">
        <v>4932</v>
      </c>
      <c r="C125" s="50">
        <v>3</v>
      </c>
      <c r="N125" s="18"/>
      <c r="O125" s="45"/>
      <c r="V125" s="18"/>
      <c r="W125" s="45"/>
    </row>
    <row r="126" spans="2:23" ht="18.75" x14ac:dyDescent="0.3">
      <c r="B126" s="49" t="s">
        <v>5089</v>
      </c>
      <c r="C126" s="50">
        <v>1</v>
      </c>
      <c r="N126" s="18"/>
      <c r="O126" s="45"/>
      <c r="V126" s="18"/>
      <c r="W126" s="45"/>
    </row>
    <row r="127" spans="2:23" ht="18.75" x14ac:dyDescent="0.3">
      <c r="B127" s="49" t="s">
        <v>4941</v>
      </c>
      <c r="C127" s="50">
        <v>4</v>
      </c>
      <c r="N127" s="18"/>
      <c r="O127" s="45"/>
      <c r="V127" s="18"/>
      <c r="W127" s="45"/>
    </row>
    <row r="128" spans="2:23" ht="18.75" x14ac:dyDescent="0.3">
      <c r="B128" s="49" t="s">
        <v>4929</v>
      </c>
      <c r="C128" s="50">
        <v>1</v>
      </c>
      <c r="N128" s="18"/>
      <c r="O128" s="45"/>
    </row>
    <row r="129" spans="2:15" ht="18.75" x14ac:dyDescent="0.3">
      <c r="B129" s="49" t="s">
        <v>4913</v>
      </c>
      <c r="C129" s="50">
        <v>2</v>
      </c>
      <c r="N129" s="18"/>
      <c r="O129" s="45"/>
    </row>
    <row r="130" spans="2:15" ht="18.75" x14ac:dyDescent="0.3">
      <c r="B130" s="49" t="s">
        <v>4943</v>
      </c>
      <c r="C130" s="50">
        <v>11</v>
      </c>
      <c r="N130" s="18"/>
      <c r="O130" s="45"/>
    </row>
    <row r="131" spans="2:15" ht="18.75" x14ac:dyDescent="0.3">
      <c r="B131" s="49" t="s">
        <v>4914</v>
      </c>
      <c r="C131" s="50">
        <v>8</v>
      </c>
      <c r="N131" s="18"/>
      <c r="O131" s="45"/>
    </row>
    <row r="132" spans="2:15" ht="18.75" x14ac:dyDescent="0.3">
      <c r="B132" s="49" t="s">
        <v>5008</v>
      </c>
      <c r="C132" s="50">
        <v>4</v>
      </c>
      <c r="N132" s="18"/>
      <c r="O132" s="45"/>
    </row>
    <row r="133" spans="2:15" ht="18.75" x14ac:dyDescent="0.3">
      <c r="B133" s="49" t="s">
        <v>4911</v>
      </c>
      <c r="C133" s="50">
        <v>273</v>
      </c>
      <c r="N133" s="18"/>
      <c r="O133" s="45"/>
    </row>
    <row r="134" spans="2:15" ht="18.75" x14ac:dyDescent="0.3">
      <c r="B134" s="49" t="s">
        <v>1483</v>
      </c>
      <c r="C134" s="50">
        <v>3</v>
      </c>
      <c r="N134" s="18"/>
      <c r="O134" s="45"/>
    </row>
    <row r="135" spans="2:15" ht="18.75" x14ac:dyDescent="0.3">
      <c r="B135" s="49" t="s">
        <v>4952</v>
      </c>
      <c r="C135" s="50">
        <v>3</v>
      </c>
      <c r="N135" s="18"/>
      <c r="O135" s="45"/>
    </row>
    <row r="136" spans="2:15" ht="18.75" x14ac:dyDescent="0.3">
      <c r="B136" s="49" t="s">
        <v>5090</v>
      </c>
      <c r="C136" s="50">
        <v>2</v>
      </c>
      <c r="N136" s="18"/>
      <c r="O136" s="45"/>
    </row>
    <row r="137" spans="2:15" ht="18.75" x14ac:dyDescent="0.3">
      <c r="B137" s="49" t="s">
        <v>4946</v>
      </c>
      <c r="C137" s="50">
        <v>19</v>
      </c>
      <c r="N137" s="18"/>
      <c r="O137" s="45"/>
    </row>
    <row r="138" spans="2:15" ht="18.75" x14ac:dyDescent="0.3">
      <c r="B138" s="49" t="s">
        <v>4928</v>
      </c>
      <c r="C138" s="50">
        <v>18</v>
      </c>
      <c r="F138" s="18"/>
      <c r="N138" s="18"/>
      <c r="O138" s="45"/>
    </row>
    <row r="139" spans="2:15" ht="18.75" x14ac:dyDescent="0.3">
      <c r="B139" s="49" t="s">
        <v>4931</v>
      </c>
      <c r="C139" s="50">
        <v>6</v>
      </c>
      <c r="F139" s="18"/>
      <c r="N139" s="18"/>
      <c r="O139" s="45"/>
    </row>
    <row r="140" spans="2:15" ht="18.75" x14ac:dyDescent="0.3">
      <c r="B140" s="49" t="s">
        <v>5177</v>
      </c>
      <c r="C140" s="50">
        <v>427</v>
      </c>
      <c r="F140" s="18"/>
      <c r="N140" s="18"/>
      <c r="O140" s="45"/>
    </row>
    <row r="141" spans="2:15" x14ac:dyDescent="0.25">
      <c r="B141" s="18"/>
      <c r="C141" s="45"/>
      <c r="F141" s="18"/>
      <c r="N141" s="18"/>
      <c r="O141" s="45"/>
    </row>
    <row r="142" spans="2:15" x14ac:dyDescent="0.25">
      <c r="B142" s="18"/>
      <c r="C142" s="45"/>
      <c r="F142" s="18"/>
      <c r="N142" s="18"/>
      <c r="O142" s="45"/>
    </row>
    <row r="143" spans="2:15" x14ac:dyDescent="0.25">
      <c r="B143" s="18"/>
      <c r="C143" s="45"/>
      <c r="F143" s="18"/>
      <c r="G143" s="45"/>
      <c r="N143" s="18"/>
      <c r="O143" s="45"/>
    </row>
    <row r="144" spans="2:15" x14ac:dyDescent="0.25">
      <c r="B144" s="18"/>
      <c r="C144" s="45"/>
      <c r="F144" s="18"/>
      <c r="G144" s="45"/>
      <c r="N144" s="18"/>
      <c r="O144" s="45"/>
    </row>
    <row r="145" spans="2:15" x14ac:dyDescent="0.25">
      <c r="B145" s="18"/>
      <c r="C145" s="45"/>
      <c r="F145" s="18"/>
      <c r="G145" s="45"/>
      <c r="N145" s="18"/>
      <c r="O145" s="45"/>
    </row>
    <row r="146" spans="2:15" x14ac:dyDescent="0.25">
      <c r="B146" s="18"/>
      <c r="C146" s="45"/>
      <c r="F146" s="18"/>
      <c r="G146" s="45"/>
      <c r="N146" s="18"/>
      <c r="O146" s="45"/>
    </row>
    <row r="147" spans="2:15" x14ac:dyDescent="0.25">
      <c r="B147" s="18"/>
      <c r="C147" s="45"/>
      <c r="F147" s="18"/>
      <c r="G147" s="45"/>
      <c r="N147" s="18"/>
      <c r="O147" s="45"/>
    </row>
    <row r="148" spans="2:15" x14ac:dyDescent="0.25">
      <c r="B148" s="18"/>
      <c r="C148" s="45"/>
      <c r="F148" s="18"/>
      <c r="G148" s="45"/>
      <c r="N148" s="18"/>
      <c r="O148" s="45"/>
    </row>
    <row r="149" spans="2:15" x14ac:dyDescent="0.25">
      <c r="B149" s="18"/>
      <c r="C149" s="45"/>
      <c r="F149" s="18"/>
      <c r="G149" s="45"/>
      <c r="N149" s="18"/>
      <c r="O149" s="45"/>
    </row>
    <row r="150" spans="2:15" x14ac:dyDescent="0.25">
      <c r="B150" s="18"/>
      <c r="C150" s="45"/>
      <c r="F150" s="18"/>
      <c r="G150" s="45"/>
      <c r="N150" s="18"/>
      <c r="O150" s="45"/>
    </row>
    <row r="151" spans="2:15" x14ac:dyDescent="0.25">
      <c r="B151" s="18"/>
      <c r="C151" s="45"/>
      <c r="F151" s="18"/>
      <c r="G151" s="45"/>
      <c r="N151" s="18"/>
      <c r="O151" s="45"/>
    </row>
    <row r="152" spans="2:15" x14ac:dyDescent="0.25">
      <c r="B152" s="18"/>
      <c r="C152" s="45"/>
      <c r="F152" s="18"/>
      <c r="G152" s="45"/>
      <c r="N152" s="18"/>
      <c r="O152" s="45"/>
    </row>
    <row r="153" spans="2:15" x14ac:dyDescent="0.25">
      <c r="B153" s="18"/>
      <c r="C153" s="45"/>
      <c r="F153" s="18"/>
      <c r="G153" s="45"/>
      <c r="N153" s="18"/>
      <c r="O153" s="45"/>
    </row>
    <row r="154" spans="2:15" x14ac:dyDescent="0.25">
      <c r="B154" s="18"/>
      <c r="C154" s="45"/>
      <c r="F154" s="18"/>
      <c r="G154" s="45"/>
      <c r="N154" s="18"/>
      <c r="O154" s="45"/>
    </row>
    <row r="155" spans="2:15" x14ac:dyDescent="0.25">
      <c r="B155" s="18"/>
      <c r="C155" s="45"/>
      <c r="F155" s="18"/>
      <c r="G155" s="45"/>
      <c r="N155" s="18"/>
      <c r="O155" s="45"/>
    </row>
    <row r="156" spans="2:15" x14ac:dyDescent="0.25">
      <c r="B156" s="18"/>
      <c r="C156" s="45"/>
      <c r="F156" s="18"/>
      <c r="G156" s="45"/>
      <c r="N156" s="18"/>
      <c r="O156" s="45"/>
    </row>
    <row r="157" spans="2:15" x14ac:dyDescent="0.25">
      <c r="B157" s="18"/>
      <c r="C157" s="45"/>
      <c r="F157" s="18"/>
      <c r="G157" s="45"/>
      <c r="N157" s="18"/>
      <c r="O157" s="45"/>
    </row>
    <row r="158" spans="2:15" x14ac:dyDescent="0.25">
      <c r="B158" s="18"/>
      <c r="C158" s="45"/>
      <c r="F158" s="18"/>
      <c r="G158" s="45"/>
      <c r="N158" s="18"/>
      <c r="O158" s="45"/>
    </row>
    <row r="159" spans="2:15" x14ac:dyDescent="0.25">
      <c r="B159" s="18"/>
      <c r="C159" s="45"/>
      <c r="N159" s="18"/>
      <c r="O159" s="45"/>
    </row>
    <row r="160" spans="2:15" x14ac:dyDescent="0.25">
      <c r="B160" s="18"/>
      <c r="C160" s="45"/>
      <c r="E160" s="45"/>
      <c r="F160" s="45"/>
      <c r="N160" s="18"/>
      <c r="O160" s="45"/>
    </row>
    <row r="161" spans="2:15" x14ac:dyDescent="0.25">
      <c r="B161" s="18"/>
      <c r="C161" s="45"/>
      <c r="N161" s="18"/>
      <c r="O161" s="45"/>
    </row>
    <row r="162" spans="2:15" x14ac:dyDescent="0.25">
      <c r="B162" s="18"/>
      <c r="C162" s="45"/>
      <c r="N162" s="18"/>
      <c r="O162" s="45"/>
    </row>
    <row r="163" spans="2:15" x14ac:dyDescent="0.25">
      <c r="B163" s="18"/>
      <c r="C163" s="45"/>
      <c r="N163" s="18"/>
      <c r="O163" s="45"/>
    </row>
    <row r="164" spans="2:15" x14ac:dyDescent="0.25">
      <c r="B164" s="18"/>
      <c r="C164" s="45"/>
      <c r="N164" s="18"/>
      <c r="O164" s="45"/>
    </row>
    <row r="165" spans="2:15" x14ac:dyDescent="0.25">
      <c r="B165" s="18"/>
      <c r="C165" s="45"/>
      <c r="N165" s="18"/>
      <c r="O165" s="45"/>
    </row>
    <row r="166" spans="2:15" x14ac:dyDescent="0.25">
      <c r="B166" s="18"/>
      <c r="C166" s="45"/>
      <c r="N166" s="18"/>
      <c r="O166" s="45"/>
    </row>
    <row r="167" spans="2:15" x14ac:dyDescent="0.25">
      <c r="B167" s="18"/>
      <c r="C167" s="45"/>
      <c r="N167" s="18"/>
      <c r="O167" s="45"/>
    </row>
    <row r="168" spans="2:15" x14ac:dyDescent="0.25">
      <c r="B168" s="18"/>
      <c r="C168" s="45"/>
    </row>
    <row r="169" spans="2:15" x14ac:dyDescent="0.25">
      <c r="B169" s="18"/>
      <c r="C169" s="45"/>
    </row>
    <row r="170" spans="2:15" x14ac:dyDescent="0.25">
      <c r="B170" s="18"/>
      <c r="C170" s="45"/>
    </row>
    <row r="171" spans="2:15" x14ac:dyDescent="0.25">
      <c r="B171" s="18"/>
      <c r="C171" s="45"/>
    </row>
    <row r="172" spans="2:15" x14ac:dyDescent="0.25">
      <c r="B172" s="18"/>
      <c r="C172" s="45"/>
    </row>
    <row r="173" spans="2:15" x14ac:dyDescent="0.25">
      <c r="B173" s="18"/>
      <c r="C173" s="45"/>
    </row>
    <row r="174" spans="2:15" x14ac:dyDescent="0.25">
      <c r="B174" s="18"/>
      <c r="C174" s="45"/>
    </row>
    <row r="175" spans="2:15" x14ac:dyDescent="0.25">
      <c r="B175" s="18"/>
      <c r="C175" s="45"/>
    </row>
    <row r="176" spans="2:15" x14ac:dyDescent="0.25">
      <c r="B176" s="18"/>
      <c r="C176" s="45"/>
    </row>
    <row r="177" spans="2:3" x14ac:dyDescent="0.25">
      <c r="B177" s="18"/>
      <c r="C177" s="45"/>
    </row>
    <row r="178" spans="2:3" x14ac:dyDescent="0.25">
      <c r="B178" s="18"/>
      <c r="C178" s="45"/>
    </row>
    <row r="179" spans="2:3" x14ac:dyDescent="0.25">
      <c r="B179" s="18"/>
      <c r="C179" s="45"/>
    </row>
    <row r="180" spans="2:3" x14ac:dyDescent="0.25">
      <c r="B180" s="18"/>
      <c r="C180" s="45"/>
    </row>
    <row r="181" spans="2:3" x14ac:dyDescent="0.25">
      <c r="B181" s="18"/>
      <c r="C181" s="45"/>
    </row>
    <row r="182" spans="2:3" x14ac:dyDescent="0.25">
      <c r="B182" s="18"/>
      <c r="C182" s="45"/>
    </row>
    <row r="183" spans="2:3" x14ac:dyDescent="0.25">
      <c r="B183" s="18"/>
      <c r="C183" s="45"/>
    </row>
    <row r="184" spans="2:3" x14ac:dyDescent="0.25">
      <c r="B184" s="18"/>
      <c r="C184" s="45"/>
    </row>
    <row r="185" spans="2:3" x14ac:dyDescent="0.25">
      <c r="B185" s="18"/>
      <c r="C185" s="45"/>
    </row>
    <row r="186" spans="2:3" x14ac:dyDescent="0.25">
      <c r="B186" s="18"/>
      <c r="C186" s="45"/>
    </row>
  </sheetData>
  <pageMargins left="0.7" right="0.7" top="0.75" bottom="0.75" header="0.3" footer="0.3"/>
  <pageSetup orientation="portrait" verticalDpi="0" r:id="rId7"/>
  <drawing r:id="rId8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3:E38"/>
  <sheetViews>
    <sheetView workbookViewId="0">
      <selection activeCell="B17" sqref="B17"/>
    </sheetView>
  </sheetViews>
  <sheetFormatPr baseColWidth="10" defaultRowHeight="15" x14ac:dyDescent="0.25"/>
  <cols>
    <col min="1" max="2" width="25.85546875" bestFit="1" customWidth="1"/>
    <col min="5" max="5" width="17.140625" bestFit="1" customWidth="1"/>
  </cols>
  <sheetData>
    <row r="3" spans="2:5" x14ac:dyDescent="0.25">
      <c r="B3" s="40" t="s">
        <v>4876</v>
      </c>
    </row>
    <row r="4" spans="2:5" x14ac:dyDescent="0.25">
      <c r="B4" s="1" t="s">
        <v>4863</v>
      </c>
      <c r="D4" s="43"/>
      <c r="E4" s="3"/>
    </row>
    <row r="5" spans="2:5" x14ac:dyDescent="0.25">
      <c r="B5" s="1" t="s">
        <v>4864</v>
      </c>
      <c r="D5" s="3"/>
      <c r="E5" s="3"/>
    </row>
    <row r="6" spans="2:5" x14ac:dyDescent="0.25">
      <c r="B6" s="1" t="s">
        <v>4865</v>
      </c>
      <c r="D6" s="1" t="s">
        <v>4877</v>
      </c>
      <c r="E6" s="40" t="s">
        <v>4861</v>
      </c>
    </row>
    <row r="7" spans="2:5" x14ac:dyDescent="0.25">
      <c r="B7" s="1" t="s">
        <v>4866</v>
      </c>
      <c r="D7" s="1">
        <v>1</v>
      </c>
      <c r="E7" s="1" t="s">
        <v>4878</v>
      </c>
    </row>
    <row r="8" spans="2:5" x14ac:dyDescent="0.25">
      <c r="B8" s="1" t="s">
        <v>4867</v>
      </c>
      <c r="D8" s="1">
        <v>2</v>
      </c>
      <c r="E8" s="1" t="s">
        <v>4879</v>
      </c>
    </row>
    <row r="9" spans="2:5" x14ac:dyDescent="0.25">
      <c r="D9" s="1">
        <v>3</v>
      </c>
      <c r="E9" s="1" t="s">
        <v>4880</v>
      </c>
    </row>
    <row r="10" spans="2:5" x14ac:dyDescent="0.25">
      <c r="D10" s="1">
        <v>4</v>
      </c>
      <c r="E10" s="1" t="s">
        <v>4881</v>
      </c>
    </row>
    <row r="11" spans="2:5" x14ac:dyDescent="0.25">
      <c r="D11" s="1">
        <v>5</v>
      </c>
      <c r="E11" s="1" t="s">
        <v>4882</v>
      </c>
    </row>
    <row r="12" spans="2:5" x14ac:dyDescent="0.25">
      <c r="B12" s="40" t="s">
        <v>4859</v>
      </c>
      <c r="D12" s="1">
        <v>6</v>
      </c>
      <c r="E12" s="1" t="s">
        <v>4883</v>
      </c>
    </row>
    <row r="13" spans="2:5" x14ac:dyDescent="0.25">
      <c r="B13" s="41" t="s">
        <v>4868</v>
      </c>
      <c r="D13" s="1">
        <v>7</v>
      </c>
      <c r="E13" s="1" t="s">
        <v>4884</v>
      </c>
    </row>
    <row r="14" spans="2:5" x14ac:dyDescent="0.25">
      <c r="B14" s="41" t="s">
        <v>4869</v>
      </c>
      <c r="D14" s="1">
        <v>8</v>
      </c>
      <c r="E14" s="1" t="s">
        <v>4885</v>
      </c>
    </row>
    <row r="15" spans="2:5" x14ac:dyDescent="0.25">
      <c r="B15" s="1" t="s">
        <v>4870</v>
      </c>
      <c r="D15" s="1">
        <v>9</v>
      </c>
      <c r="E15" s="1" t="s">
        <v>4886</v>
      </c>
    </row>
    <row r="16" spans="2:5" x14ac:dyDescent="0.25">
      <c r="B16" s="41" t="s">
        <v>4871</v>
      </c>
      <c r="D16" s="1">
        <v>10</v>
      </c>
      <c r="E16" s="1" t="s">
        <v>4887</v>
      </c>
    </row>
    <row r="17" spans="2:5" x14ac:dyDescent="0.25">
      <c r="D17" s="1">
        <v>11</v>
      </c>
      <c r="E17" s="1" t="s">
        <v>4888</v>
      </c>
    </row>
    <row r="18" spans="2:5" x14ac:dyDescent="0.25">
      <c r="D18" s="1">
        <v>12</v>
      </c>
      <c r="E18" s="1" t="s">
        <v>4889</v>
      </c>
    </row>
    <row r="19" spans="2:5" x14ac:dyDescent="0.25">
      <c r="B19" s="40" t="s">
        <v>4858</v>
      </c>
      <c r="D19" s="1">
        <v>13</v>
      </c>
      <c r="E19" s="1" t="s">
        <v>4890</v>
      </c>
    </row>
    <row r="20" spans="2:5" x14ac:dyDescent="0.25">
      <c r="B20" s="42" t="s">
        <v>4872</v>
      </c>
      <c r="D20" s="1">
        <v>14</v>
      </c>
      <c r="E20" s="1" t="s">
        <v>4891</v>
      </c>
    </row>
    <row r="21" spans="2:5" x14ac:dyDescent="0.25">
      <c r="B21" s="42" t="s">
        <v>4873</v>
      </c>
      <c r="D21" s="1">
        <v>15</v>
      </c>
      <c r="E21" s="1" t="s">
        <v>4892</v>
      </c>
    </row>
    <row r="22" spans="2:5" x14ac:dyDescent="0.25">
      <c r="B22" s="42" t="s">
        <v>4874</v>
      </c>
      <c r="D22" s="1">
        <v>16</v>
      </c>
      <c r="E22" s="1" t="s">
        <v>4893</v>
      </c>
    </row>
    <row r="23" spans="2:5" x14ac:dyDescent="0.25">
      <c r="B23" s="42" t="s">
        <v>4875</v>
      </c>
      <c r="D23" s="1">
        <v>17</v>
      </c>
      <c r="E23" s="1" t="s">
        <v>4894</v>
      </c>
    </row>
    <row r="24" spans="2:5" x14ac:dyDescent="0.25">
      <c r="D24" s="1">
        <v>18</v>
      </c>
      <c r="E24" s="1" t="s">
        <v>4895</v>
      </c>
    </row>
    <row r="25" spans="2:5" x14ac:dyDescent="0.25">
      <c r="D25" s="1">
        <v>19</v>
      </c>
      <c r="E25" s="1" t="s">
        <v>4896</v>
      </c>
    </row>
    <row r="26" spans="2:5" x14ac:dyDescent="0.25">
      <c r="D26" s="1">
        <v>20</v>
      </c>
      <c r="E26" s="1" t="s">
        <v>4897</v>
      </c>
    </row>
    <row r="27" spans="2:5" x14ac:dyDescent="0.25">
      <c r="D27" s="1">
        <v>21</v>
      </c>
      <c r="E27" s="1" t="s">
        <v>4898</v>
      </c>
    </row>
    <row r="28" spans="2:5" x14ac:dyDescent="0.25">
      <c r="D28" s="1">
        <v>22</v>
      </c>
      <c r="E28" s="1" t="s">
        <v>4899</v>
      </c>
    </row>
    <row r="29" spans="2:5" x14ac:dyDescent="0.25">
      <c r="D29" s="1">
        <v>23</v>
      </c>
      <c r="E29" s="1" t="s">
        <v>4900</v>
      </c>
    </row>
    <row r="30" spans="2:5" x14ac:dyDescent="0.25">
      <c r="D30" s="1">
        <v>24</v>
      </c>
      <c r="E30" s="1" t="s">
        <v>4901</v>
      </c>
    </row>
    <row r="31" spans="2:5" x14ac:dyDescent="0.25">
      <c r="D31" s="1">
        <v>25</v>
      </c>
      <c r="E31" s="1" t="s">
        <v>4902</v>
      </c>
    </row>
    <row r="32" spans="2:5" x14ac:dyDescent="0.25">
      <c r="D32" s="1">
        <v>26</v>
      </c>
      <c r="E32" s="1" t="s">
        <v>4903</v>
      </c>
    </row>
    <row r="33" spans="4:5" x14ac:dyDescent="0.25">
      <c r="D33" s="1">
        <v>27</v>
      </c>
      <c r="E33" s="1" t="s">
        <v>4904</v>
      </c>
    </row>
    <row r="34" spans="4:5" x14ac:dyDescent="0.25">
      <c r="D34" s="1">
        <v>28</v>
      </c>
      <c r="E34" s="1" t="s">
        <v>4905</v>
      </c>
    </row>
    <row r="35" spans="4:5" x14ac:dyDescent="0.25">
      <c r="D35" s="1">
        <v>29</v>
      </c>
      <c r="E35" s="1" t="s">
        <v>4906</v>
      </c>
    </row>
    <row r="36" spans="4:5" x14ac:dyDescent="0.25">
      <c r="D36" s="1">
        <v>30</v>
      </c>
      <c r="E36" s="1" t="s">
        <v>4907</v>
      </c>
    </row>
    <row r="37" spans="4:5" x14ac:dyDescent="0.25">
      <c r="D37" s="1">
        <v>31</v>
      </c>
      <c r="E37" s="1" t="s">
        <v>4908</v>
      </c>
    </row>
    <row r="38" spans="4:5" x14ac:dyDescent="0.25">
      <c r="D38" s="1">
        <v>32</v>
      </c>
      <c r="E38" s="1" t="s">
        <v>4909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global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Ñ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  <vt:lpstr>Analisis de Datos</vt:lpstr>
      <vt:lpstr>DATOS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Bolsa de Trabajo</dc:creator>
  <cp:lastModifiedBy>Usuario</cp:lastModifiedBy>
  <cp:lastPrinted>2026-05-04T20:49:33Z</cp:lastPrinted>
  <dcterms:created xsi:type="dcterms:W3CDTF">2026-03-24T20:18:50Z</dcterms:created>
  <dcterms:modified xsi:type="dcterms:W3CDTF">2026-08-20T17:54:44Z</dcterms:modified>
</cp:coreProperties>
</file>